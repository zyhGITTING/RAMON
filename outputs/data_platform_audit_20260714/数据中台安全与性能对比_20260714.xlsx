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执行摘要" sheetId="1" r:id="rId1"/>
    <sheet name="现有服务清单" sheetId="2" r:id="rId2"/>
    <sheet name="风险清单" sheetId="3" r:id="rId3"/>
    <sheet name="性能对比" sheetId="4" r:id="rId4"/>
    <sheet name="可借鉴实践" sheetId="5" r:id="rId5"/>
    <sheet name="指标口径与来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<sst xmlns="http://schemas.openxmlformats.org/spreadsheetml/2006/main" count="1375" uniqueCount="912">
  <si>
    <t>数据中台静态安全、长期风险与性能对比</t>
  </si>
  <si>
    <t>审计日期 2026-07-14｜范围：当前部署包、配置结构与官方市场资料｜空白性能单元格表示无可靠公开数据或未实测</t>
  </si>
  <si>
    <t>结论：当前存在可立即利用的账户/凭据风险，以及会在数据量、用户量和运行时间增长后放大的任务、容量、查询与灾备风险。先止血，再补可恢复性和性能基线。</t>
  </si>
  <si>
    <t>极高风险</t>
  </si>
  <si>
    <t>高风险</t>
  </si>
  <si>
    <t>中风险</t>
  </si>
  <si>
    <t>风险总数</t>
  </si>
  <si>
    <t>需现场核验</t>
  </si>
  <si>
    <t>动态性能实测</t>
  </si>
  <si>
    <t>未完成</t>
  </si>
  <si>
    <t>P0</t>
  </si>
  <si>
    <t>P1</t>
  </si>
  <si>
    <t>P2</t>
  </si>
  <si>
    <t>静态识别</t>
  </si>
  <si>
    <t>版本/运行态</t>
  </si>
  <si>
    <t>P95 / QPS / 吞吐待部署机压测</t>
  </si>
  <si>
    <t>边界说明：Docker daemon 当前不可用，未连接生产数据库，也未执行动态扫描/渗透/压测。因此实际组件精确版本、CVE 命中、P95/P99、QPS、吞吐、数据库体积、死元组、日志占用和备份可恢复性仍需在部署机补采；对比表不使用估算值冒充实测。</t>
  </si>
  <si>
    <t>时间窗</t>
  </si>
  <si>
    <t>动作</t>
  </si>
  <si>
    <t>解决的首要风险</t>
  </si>
  <si>
    <t>完成判定</t>
  </si>
  <si>
    <t>主责建议</t>
  </si>
  <si>
    <t>依赖</t>
  </si>
  <si>
    <t>性能影响</t>
  </si>
  <si>
    <t>状态</t>
  </si>
  <si>
    <t>0-24小时</t>
  </si>
  <si>
    <t>关闭自助注册；冻结/核查异常新账号</t>
  </si>
  <si>
    <t>S-01 账号冒用</t>
  </si>
  <si>
    <t>非权威员工身份无法注册；已有新账号完成核验</t>
  </si>
  <si>
    <t>安全/平台</t>
  </si>
  <si>
    <t>员工目录或临时审批</t>
  </si>
  <si>
    <t>基本无负面影响</t>
  </si>
  <si>
    <t>未开始</t>
  </si>
  <si>
    <t>0-3天</t>
  </si>
  <si>
    <t>改临时密码规则并在服务端强制改密；改密撤销会话</t>
  </si>
  <si>
    <t>S-02/S-09</t>
  </si>
  <si>
    <t>重置账号除改密外全部阻断，旧token立即失效</t>
  </si>
  <si>
    <t>后端/安全</t>
  </si>
  <si>
    <t>会话版本字段</t>
  </si>
  <si>
    <t>轻微增加一次DB校验</t>
  </si>
  <si>
    <t>0-7天</t>
  </si>
  <si>
    <t>轮换MCP token，禁用URL token/回读，文档不再自动签发</t>
  </si>
  <si>
    <t>S-03/S-06</t>
  </si>
  <si>
    <t>日志/DB/API无完整token；旧token失效</t>
  </si>
  <si>
    <t>客户端迁移窗口</t>
  </si>
  <si>
    <t>降低token表增长</t>
  </si>
  <si>
    <t>异常/空快照不发布；修正last_success_at</t>
  </si>
  <si>
    <t>D-01/D-02</t>
  </si>
  <si>
    <t>故障注入时current不变且新鲜度不前移</t>
  </si>
  <si>
    <t>数据平台</t>
  </si>
  <si>
    <t>质量规则和版本切换</t>
  </si>
  <si>
    <t>显著降低错误发布；少量校验开销</t>
  </si>
  <si>
    <t>自动异地备份并完成一次新库恢复演练</t>
  </si>
  <si>
    <t>R-01</t>
  </si>
  <si>
    <t>有可验证RPO/RTO和恢复记录</t>
  </si>
  <si>
    <t>DBA/运维</t>
  </si>
  <si>
    <t>异地存储</t>
  </si>
  <si>
    <t>备份窗口需限速</t>
  </si>
  <si>
    <t>8-30天</t>
  </si>
  <si>
    <t>连接池+SQL超时、日志轮转、资源限额、readiness与核心告警</t>
  </si>
  <si>
    <t>P-01/O-02/O-03/O-05</t>
  </si>
  <si>
    <t>50/100并发无耗尽；磁盘/连接/新鲜度告警有效</t>
  </si>
  <si>
    <t>平台/DBA/SRE</t>
  </si>
  <si>
    <t>压测环境</t>
  </si>
  <si>
    <t>降低尾延迟与故障放大</t>
  </si>
  <si>
    <t>持久job/租约/checkpoint，调度与API分离</t>
  </si>
  <si>
    <t>R-02/R-03/P-04</t>
  </si>
  <si>
    <t>并发触发无重复；重启可续传；多副本状态一致</t>
  </si>
  <si>
    <t>平台</t>
  </si>
  <si>
    <t>队列或job表</t>
  </si>
  <si>
    <t>支持安全水平扩展</t>
  </si>
  <si>
    <t>31-90天</t>
  </si>
  <si>
    <t>增量CDC/分区归档、类型化schema、查询索引/keyset/预聚合</t>
  </si>
  <si>
    <t>C-01/D-04/P-02</t>
  </si>
  <si>
    <t>WAL/存储放大显著下降；百万行p95达目标</t>
  </si>
  <si>
    <t>数据平台/DBA</t>
  </si>
  <si>
    <t>业务键、对象存储、查询基线</t>
  </si>
  <si>
    <t>核心性能收益阶段</t>
  </si>
  <si>
    <t>现有服务清单与性能暴露面</t>
  </si>
  <si>
    <t>版本为部署文件可见约束，不等于运行容器的精确补丁版本；未展示任何秘密值</t>
  </si>
  <si>
    <t>组件</t>
  </si>
  <si>
    <t>版本/配置</t>
  </si>
  <si>
    <t>部署形态</t>
  </si>
  <si>
    <t>暴露面</t>
  </si>
  <si>
    <t>健康/状态</t>
  </si>
  <si>
    <t>安全控制</t>
  </si>
  <si>
    <t>性能/容量特征</t>
  </si>
  <si>
    <t>持久性/HA</t>
  </si>
  <si>
    <t>证据</t>
  </si>
  <si>
    <t>风险等级</t>
  </si>
  <si>
    <t>需补采/验证</t>
  </si>
  <si>
    <t>PostgreSQL</t>
  </si>
  <si>
    <t>postgres:16-alpine（浮动 tag）</t>
  </si>
  <si>
    <t>单容器 + named volume</t>
  </si>
  <si>
    <t>宿主机仅 127.0.0.1:5430</t>
  </si>
  <si>
    <t>healthcheck=pg_isready</t>
  </si>
  <si>
    <t>应用与初始化共用 POSTGRES_USER；TLS/最小权限未在包内体现</t>
  </si>
  <si>
    <t>无连接池与 SQL/锁超时；全量快照和精确 COUNT 会放大 IO</t>
  </si>
  <si>
    <t>无副本、PITR、自动备份或恢复演练证据</t>
  </si>
  <si>
    <t>docker-compose.yml:4-22；backend/db.py:75-86</t>
  </si>
  <si>
    <t>高</t>
  </si>
  <si>
    <t>现场采集精确版本、库大小、连接数、慢 SQL、dead tuples、checkpoint、最近可恢复备份</t>
  </si>
  <si>
    <t>FastAPI / Uvicorn</t>
  </si>
  <si>
    <t>Python 3.11-slim；依赖均 &gt;= 下限</t>
  </si>
  <si>
    <t>单容器、单 Uvicorn worker</t>
  </si>
  <si>
    <t>宿主机仅 127.0.0.1:8128，由 Nginx 反代</t>
  </si>
  <si>
    <t>无后端 healthcheck；/health 仅常量</t>
  </si>
  <si>
    <t>默认 root；API docs 默认公开；access token 约12小时</t>
  </si>
  <si>
    <t>同步阻塞 I/O；无 worker 冗余；直接扩 worker 会复制进程内状态</t>
  </si>
  <si>
    <t>restart=unless-stopped，但不能识别逻辑挂死</t>
  </si>
  <si>
    <t>backend/Dockerfile:1-19；backend/app/main.py:33；public.py:35-37</t>
  </si>
  <si>
    <t>现场压测 P50/P95/P99、QPS、线程池/CPU/内存；检查镜像 digest 与 SBOM</t>
  </si>
  <si>
    <t>同步调度器</t>
  </si>
  <si>
    <t>进程内 daemon thread；每5秒扫描</t>
  </si>
  <si>
    <t>与 API 同进程</t>
  </si>
  <si>
    <t>不直接暴露</t>
  </si>
  <si>
    <t>异常可被吞；进度/取消在内存</t>
  </si>
  <si>
    <t>无持久租约/leader election/job-id</t>
  </si>
  <si>
    <t>一次仅挑一个到期源；无 checkpoint；扩容会重复调度</t>
  </si>
  <si>
    <t>重启任务丢失；并发触发有竞态</t>
  </si>
  <si>
    <t>scheduler.py:18-90；sync_progress_service.py:9-20；sync_service.py:39-47</t>
  </si>
  <si>
    <t>极高</t>
  </si>
  <si>
    <t>故障注入、并发触发、kill -9 恢复、backlog/oldest-age 指标</t>
  </si>
  <si>
    <t>数据抓取/ODS</t>
  </si>
  <si>
    <t>requests；30秒 timeout；最多3页线程/源</t>
  </si>
  <si>
    <t>全量分页抓取→动态 ODS 表</t>
  </si>
  <si>
    <t>由管理员配置外部 URL</t>
  </si>
  <si>
    <t>仅行数/下降率质量判断</t>
  </si>
  <si>
    <t>可关闭 TLS；缺少 SSRF 出口限制；凭据在配置中</t>
  </si>
  <si>
    <t>默认 page_size 300、max_pages 10000；最多4源×3抓取线程；全量20版</t>
  </si>
  <si>
    <t>空/畸形数据仍可能发布；无 snapshot-id/业务唯一键</t>
  </si>
  <si>
    <t>datasource_runtime.py:22-43,74,98-163；datasource_service.py:19-21,923-1103</t>
  </si>
  <si>
    <t>单源行数/字节、rows/s、失败重试率、WAL/次、存储放大比、重复/漏数率</t>
  </si>
  <si>
    <t>查询 API</t>
  </si>
  <si>
    <t>FastAPI 同步路由 + psycopg2</t>
  </si>
  <si>
    <t>与同步任务共享单后端/单数据库</t>
  </si>
  <si>
    <t>经 Nginx /data_center/api/</t>
  </si>
  <si>
    <t>Bearer 权限检查；错误细节部分外泄</t>
  </si>
  <si>
    <t>无边缘频控/SQL预算证据</t>
  </si>
  <si>
    <t>COUNT + LIKE '%x%' + OFFSET + SELECT * + GROUP BY；page_size≤200</t>
  </si>
  <si>
    <t>慢查询会占连接/线程；审计可能再开连接</t>
  </si>
  <si>
    <t>datasource_query_service.py:223-268；public_data.py:55-103</t>
  </si>
  <si>
    <t>按1/10/100万行与20/50/100并发测冷/热 p50/p95/p99、扫描块、连接数、超时率</t>
  </si>
  <si>
    <t>MCP HTTP/SSE</t>
  </si>
  <si>
    <t>自签 token；默认90天，可永久</t>
  </si>
  <si>
    <t>SSE 会话/Queue 在进程内</t>
  </si>
  <si>
    <t>URL query 或 Authorization Header</t>
  </si>
  <si>
    <t>token hash+状态存在，但明文 config 可回读</t>
  </si>
  <si>
    <t>token 会进入 URL/文档/日志；异常默认 alert_only</t>
  </si>
  <si>
    <t>无界长连接和 Queue；多 worker 会话不共享</t>
  </si>
  <si>
    <t>文档访问会持续增发 token；软删除/记录无统一清理</t>
  </si>
  <si>
    <t>admin_mcp_token.py:39-49,145-174,304-345；public_data.py:389-546,726-774</t>
  </si>
  <si>
    <t>并发连接/消息大小/慢消费者压测；token 数增长、日志泄漏与轮换演练</t>
  </si>
  <si>
    <t>Nginx / 前端</t>
  </si>
  <si>
    <t>宿主 Nginx 片段 + 静态前端</t>
  </si>
  <si>
    <t>Nginx 外置，不在 Compose</t>
  </si>
  <si>
    <t>路径 /data_center/</t>
  </si>
  <si>
    <t>代理超时600秒；API buffering 全关闭</t>
  </si>
  <si>
    <t>TLS/HSTS/CSP/安全头/频控需核验；token 存 localStorage</t>
  </si>
  <si>
    <t>长超时与无 buffering 会占连接；无缓存策略证据</t>
  </si>
  <si>
    <t>Nginx 本体和证书生命周期不在包内</t>
  </si>
  <si>
    <t>server-nginx-data-center.conf:1-46；frontend/app.js:97-99</t>
  </si>
  <si>
    <t>完整 nginx -T、TLS/安全头扫描、连接/限流压测、证书自动续期演练</t>
  </si>
  <si>
    <t>配置与秘密</t>
  </si>
  <si>
    <t>本地 .env + Compose environment</t>
  </si>
  <si>
    <t>仅部分变量显式传入容器</t>
  </si>
  <si>
    <t>PUBLIC_URL 当前未设置，回落 HTTP 占位</t>
  </si>
  <si>
    <t>token secret 长度满足校验（未展示值）</t>
  </si>
  <si>
    <t>初始管理员密码仍配置且仅8字符；自助注册开启；外部 secret 未进专用 secret store</t>
  </si>
  <si>
    <t>配置漂移可能让 trusted proxies/限流/TTL 等不生效</t>
  </si>
  <si>
    <t>缺少集中版本、轮换和审计</t>
  </si>
  <si>
    <t>docker-compose.yml:33-47；当前 .env 安全检查</t>
  </si>
  <si>
    <t>运行时有效配置清单（脱敏）、secret 轮换、占位/HTTP URL 启动失败测试</t>
  </si>
  <si>
    <t>供应链/发布</t>
  </si>
  <si>
    <t>无 lockfile；浮动镜像；import-time DDL</t>
  </si>
  <si>
    <t>docker build + Compose</t>
  </si>
  <si>
    <t>构建上下文为仓库根目录</t>
  </si>
  <si>
    <t>docker compose config --quiet 通过；54个 Python 文件 AST 解析通过</t>
  </si>
  <si>
    <t>无 .dockerignore/SBOM/制品签名证据</t>
  </si>
  <si>
    <t>未来构建不可复现；启动迁移可能锁表</t>
  </si>
  <si>
    <t>已有 volume 只靠零散 ALTER，缺少正式迁移/回滚</t>
  </si>
  <si>
    <t>requirements.txt:1-6；main.py:89-167；backend/Dockerfile</t>
  </si>
  <si>
    <t>锁 digest/hash、SBOM、漏洞扫描、迁移 dry-run/rollback、可重复构建</t>
  </si>
  <si>
    <t>风险清单（安全、可靠性、性能容量与长期运行）</t>
  </si>
  <si>
    <t>P0=立即止血；P1=30天内；P2=纳入季度；P3=持续改进。跟踪列已预留，便于直接作为整改台账。</t>
  </si>
  <si>
    <t>ID</t>
  </si>
  <si>
    <t>优先级</t>
  </si>
  <si>
    <t>类别</t>
  </si>
  <si>
    <t>触发时间</t>
  </si>
  <si>
    <t>问题</t>
  </si>
  <si>
    <t>严重度</t>
  </si>
  <si>
    <t>可能性</t>
  </si>
  <si>
    <t>当前状态</t>
  </si>
  <si>
    <t>代码/配置证据</t>
  </si>
  <si>
    <t>触发条件</t>
  </si>
  <si>
    <t>影响</t>
  </si>
  <si>
    <t>建议整改</t>
  </si>
  <si>
    <t>验收/复测</t>
  </si>
  <si>
    <t>置信度</t>
  </si>
  <si>
    <t>跟踪状态</t>
  </si>
  <si>
    <t>负责人</t>
  </si>
  <si>
    <t>目标日期</t>
  </si>
  <si>
    <t>S-01</t>
  </si>
  <si>
    <t>账户安全</t>
  </si>
  <si>
    <t>立即</t>
  </si>
  <si>
    <t>当前环境开启无权威身份核验的自助注册</t>
  </si>
  <si>
    <t>已启用</t>
  </si>
  <si>
    <t>.env:21；backend/app/api/routers/auth.py:53-78</t>
  </si>
  <si>
    <t>服务可被非可信网络访问时立即可触发</t>
  </si>
  <si>
    <t>访客可构造符合格式的工号注册并获得访问令牌，形成员工身份冒用</t>
  </si>
  <si>
    <t>立即关闭自助注册；接入权威员工目录/OIDC/SAML；注册需审批、限流和安全审计</t>
  </si>
  <si>
    <t>从非员工目录账号尝试注册应被拒绝；检查注册审计事件</t>
  </si>
  <si>
    <t>待处理</t>
  </si>
  <si>
    <t/>
  </si>
  <si>
    <t>S-02</t>
  </si>
  <si>
    <t>临时密码可预测，且服务端未强制改密</t>
  </si>
  <si>
    <t>已确认</t>
  </si>
  <si>
    <t>backend/app/services/auth_service.py:134-140；admin_users.py:152-166；auth.py:40-50；frontend/app.js:331-340</t>
  </si>
  <si>
    <t>账号被重置或自动创建后至首次改密前</t>
  </si>
  <si>
    <t>已知工号即可推测密码；must_change_password 账户仍可调用业务接口</t>
  </si>
  <si>
    <t>改为高熵一次性凭据和短时效；服务端中间件只允许改密；重置后撤销全部会话</t>
  </si>
  <si>
    <t>重置账号后旧 token 失效；除改密接口外均返回阻断</t>
  </si>
  <si>
    <t>S-03</t>
  </si>
  <si>
    <t>凭据安全</t>
  </si>
  <si>
    <t>MCP Token 出现在 URL、文档和数据库明文配置中</t>
  </si>
  <si>
    <t>public_data.py:106-121,498-503,559-625；admin_mcp_token.py:146-149,180-213；mcp_service.py:17-24</t>
  </si>
  <si>
    <t>任何 MCP 使用、代理日志采集、浏览器历史或配置回读</t>
  </si>
  <si>
    <t>长效/永久凭据可进入日志、历史记录和备份；管理员可回读有效 token</t>
  </si>
  <si>
    <t>只允许 Authorization Header；token 仅展示一次且库内只存哈希；轮换现有 token 并清理历史明文</t>
  </si>
  <si>
    <t>Nginx 日志、DB 配置和管理接口均找不到完整 token；旧 token 全部失效</t>
  </si>
  <si>
    <t>S-04</t>
  </si>
  <si>
    <t>网络安全</t>
  </si>
  <si>
    <t>管理员可配置任意数据源/LLM URL，形成 SSRF</t>
  </si>
  <si>
    <t>中</t>
  </si>
  <si>
    <t>代码路径存在</t>
  </si>
  <si>
    <t>schemas/datasource.py:8-39；datasource_runtime.py:22-39；schemas/llm.py:6-22；llm_service.py:306-329</t>
  </si>
  <si>
    <t>管理员账号失陷或误配置</t>
  </si>
  <si>
    <t>可探测回环、内网和云元数据地址；还可关闭 TLS 校验并携带自定义 Header</t>
  </si>
  <si>
    <t>仅允许 HTTPS 和域名白名单；DNS 解析后阻断私网/回环/链路本地/元数据 IP；重定向逐跳复核；出口防火墙</t>
  </si>
  <si>
    <t>对 127.0.0.1、RFC1918、169.254.169.254 和重定向绕过做自动化测试</t>
  </si>
  <si>
    <t>S-05</t>
  </si>
  <si>
    <t>最小权限</t>
  </si>
  <si>
    <t>应用直接使用 PostgreSQL 初始化集群超级用户</t>
  </si>
  <si>
    <t>docker-compose.yml:9-11,34-39；backend/db.py:75-86</t>
  </si>
  <si>
    <t>后端容器、连接串或任意 SQL 注入链被攻破</t>
  </si>
  <si>
    <t>攻击面从应用 schema 扩大到整个数据库集群</t>
  </si>
  <si>
    <t>拆分迁移 owner 与运行时账户；运行时仅授予目标 schema 必需 CRUD，移除 SUPERUSER/CREATEDB/CREATEROLE</t>
  </si>
  <si>
    <t>查询 pg_roles 和 effective privileges；运行时账户无法创建角色/数据库或访问非应用 schema</t>
  </si>
  <si>
    <t>D-01</t>
  </si>
  <si>
    <t>数据质量</t>
  </si>
  <si>
    <t>空或畸形的上游响应仍可能发布为当前版本</t>
  </si>
  <si>
    <t>datasource_runtime.py:98-104；sync_data.py:167-243</t>
  </si>
  <si>
    <t>上游 HTTP 200 但字段改名、data 缺失/非数组或返回空集合</t>
  </si>
  <si>
    <t>当前数据可瞬间变空，last-known-good 不再是默认数据</t>
  </si>
  <si>
    <t>改为采集→校验→发布；空/字段缺失/总数不符进入隔离区；保留 last-known-good，一键回滚</t>
  </si>
  <si>
    <t>故障注入 200+畸形 JSON/空数组，current_version 不应变化</t>
  </si>
  <si>
    <t>灾备可用性</t>
  </si>
  <si>
    <t>单 PostgreSQL + 单后端 + 本地卷，无自动备份/PITR/恢复演练</t>
  </si>
  <si>
    <t>docker-compose.yml:3-52；README.md:111-125</t>
  </si>
  <si>
    <t>主机/磁盘故障、误删 volume、勒索或错误恢复</t>
  </si>
  <si>
    <t>存在长 RPO、长 RTO 甚至永久数据丢失；当前恢复步骤可能产生部分恢复</t>
  </si>
  <si>
    <t>自动 pg_dump -Fc 加密异地保存和校验；新库恢复演练；WAL 归档/PITR 或托管高可用 PostgreSQL</t>
  </si>
  <si>
    <t>在隔离环境完成一次可重复恢复并记录 RPO/RTO；验证备份告警</t>
  </si>
  <si>
    <t>S-06</t>
  </si>
  <si>
    <t>短期</t>
  </si>
  <si>
    <t>访问 MCP 文档每次都会签发新的 90 天 Token</t>
  </si>
  <si>
    <t>public_data.py:726-774</t>
  </si>
  <si>
    <t>用户重复打开文档或自动探测/刷新页面</t>
  </si>
  <si>
    <t>活跃凭据数量和 sys_mcp_token 体积持续增长，泄漏面扩大</t>
  </si>
  <si>
    <t>文档获取幂等；token 仅显式一次性签发；每用户上限、频控、过期清理和临期提醒</t>
  </si>
  <si>
    <t>连续访问文档不新增 token；超过配额返回明确错误</t>
  </si>
  <si>
    <t>S-07</t>
  </si>
  <si>
    <t>资源耗尽</t>
  </si>
  <si>
    <t>短期/扩容后</t>
  </si>
  <si>
    <t>SSE 会话与 Queue 均为进程内无界结构</t>
  </si>
  <si>
    <t>public_data.py:389-425,529-546</t>
  </si>
  <si>
    <t>大量长连接、慢消费者、大结果消息或增加 worker</t>
  </si>
  <si>
    <t>内存/线程耗尽；重启丢会话；多 worker 时 POST 可能落到另一进程</t>
  </si>
  <si>
    <t>共享 broker/Redis；有界队列和背压；限制每 token/IP 会话数、消息大小与速率</t>
  </si>
  <si>
    <t>慢消费者压测时内存稳定；多副本路由不丢会话</t>
  </si>
  <si>
    <t>S-08</t>
  </si>
  <si>
    <t>认证防护</t>
  </si>
  <si>
    <t>登录限流使用进程内字典，易绕过、误封并长期增长</t>
  </si>
  <si>
    <t>auth_service.py:53-92；server-nginx-data-center.conf:18-22</t>
  </si>
  <si>
    <t>重启、多 worker、随机用户名/IP 失败请求或代理链配置错误</t>
  </si>
  <si>
    <t>限流计数清零/不共享；唯一键不淘汰导致内存增长；真实客户端可能被错误识别</t>
  </si>
  <si>
    <t>Redis/WAF 共享限流；账户+可信客户端组合；键 TTL/容量上限；严格 trusted proxy 配置</t>
  </si>
  <si>
    <t>跨实例/重启计数一致；高基数攻击下内存和键数受控</t>
  </si>
  <si>
    <t>S-09</t>
  </si>
  <si>
    <t>会话安全</t>
  </si>
  <si>
    <t>改密/重置不撤销既有 Token，访问令牌默认约 12 小时</t>
  </si>
  <si>
    <t>auth_service.py:20,213-224,255-265；auth.py:99-104；frontend/app.js:97-99</t>
  </si>
  <si>
    <t>token 已泄露后用户改密或管理员重置</t>
  </si>
  <si>
    <t>被盗 token 仍可继续使用；前端 localStorage 会放大 XSS 后的会话窃取影响</t>
  </si>
  <si>
    <t>引入 token_version/JTI 或服务端会话；改密/重置时统一吊销；缩短访问 token 并轮换 refresh token</t>
  </si>
  <si>
    <t>改密前签发的 token 立即失效；XSS 测试无法读取 HttpOnly refresh token</t>
  </si>
  <si>
    <t>S-10</t>
  </si>
  <si>
    <t>边缘安全</t>
  </si>
  <si>
    <t>立即核验</t>
  </si>
  <si>
    <t>部署包未证明已强制 HTTPS/HSTS/CSP/频控/请求体限制</t>
  </si>
  <si>
    <t>需现场确认</t>
  </si>
  <si>
    <t>server-nginx-data-center.conf:16-28；README.md:88-97；HOST_NGINX_DEPLOY.md:49-66</t>
  </si>
  <si>
    <t>外层 server{} 未另行配置 TLS 与安全策略</t>
  </si>
  <si>
    <t>密码和 Bearer/MCP token 可能明文传输；长连接和大请求可耗尽边缘资源</t>
  </si>
  <si>
    <t>核验完整 Nginx；强制 TLS1.2/1.3、HSTS、CSP、安全响应头、连接/请求速率和 body 限制</t>
  </si>
  <si>
    <t>使用 sslyze/安全头扫描和限流压测；HTTP 必须 301 到 HTTPS</t>
  </si>
  <si>
    <t>待核验</t>
  </si>
  <si>
    <t>S-11</t>
  </si>
  <si>
    <t>认证设计</t>
  </si>
  <si>
    <t>功能启用后</t>
  </si>
  <si>
    <t>URL SSO 仅凭 username 直接签发 Token</t>
  </si>
  <si>
    <t>休眠配置</t>
  </si>
  <si>
    <t>auth.py:177-229；auth_service.py:33-40</t>
  </si>
  <si>
    <t>未来开启 DATAMID_URL_SSO_ENABLED</t>
  </si>
  <si>
    <t>Origin/Referer 前缀校验不能证明身份，非浏览器客户端可伪造</t>
  </si>
  <si>
    <t>删除该模式，改标准 OIDC/SAML；验证签名、issuer、audience、state、nonce 和防重放</t>
  </si>
  <si>
    <t>伪造 Origin/Referer 和用户名无法登录；OIDC conformance 测试通过</t>
  </si>
  <si>
    <t>S-12</t>
  </si>
  <si>
    <t>秘密管理</t>
  </si>
  <si>
    <t>外部 Authorization 与 LLM API Key 以业务配置形式存储</t>
  </si>
  <si>
    <t>admin_datasource.py:106-187；datasource_service.py:673-680；llm_service.py:18,69-104</t>
  </si>
  <si>
    <t>数据库备份、管理员 API 或只读数据库权限泄露</t>
  </si>
  <si>
    <t>上游系统和模型供应商凭据被连带泄露</t>
  </si>
  <si>
    <t>使用 KMS/Vault/编排平台 secrets；信封加密；API 返回脱敏；最小权限和定期轮换</t>
  </si>
  <si>
    <t>DB dump 与管理 API 不含明文；轮换可双 key 无中断</t>
  </si>
  <si>
    <t>S-13</t>
  </si>
  <si>
    <t>信息泄露</t>
  </si>
  <si>
    <t>默认公开 API 文档且部分异常原样返回</t>
  </si>
  <si>
    <t>backend/app/main.py:33；public_data.py:283-292；sync_data.py:272-345</t>
  </si>
  <si>
    <t>生产环境暴露 /docs、/openapi.json，或上游/SQL 异常含敏感信息</t>
  </si>
  <si>
    <t>扩大接口枚举面，异常可能暴露内部类名、URL 或配置细节</t>
  </si>
  <si>
    <t>生产关闭/管理网限制文档；统一错误码；详细堆栈仅写入脱敏内部日志</t>
  </si>
  <si>
    <t>外部响应只含 request-id 和通用错误；管理网外文档不可达</t>
  </si>
  <si>
    <t>S-14</t>
  </si>
  <si>
    <t>导出安全</t>
  </si>
  <si>
    <t>审计 CSV 未中和公式注入</t>
  </si>
  <si>
    <t>admin_audit.py:87-101</t>
  </si>
  <si>
    <t>攻击者可控字段以 =、+、-、@ 开头且管理员用 Excel 打开</t>
  </si>
  <si>
    <t>管理员终端可能执行恶意公式或外联</t>
  </si>
  <si>
    <t>导出时中和危险前缀，或生成强制文本类型的 XLSX；增加回归测试</t>
  </si>
  <si>
    <t>用四类危险前缀导出并在 Excel 检查均为文本</t>
  </si>
  <si>
    <t>S-15</t>
  </si>
  <si>
    <t>前端安全</t>
  </si>
  <si>
    <t>配置变化后</t>
  </si>
  <si>
    <t>存在条件性 DOM/存储型 XSS 注入点</t>
  </si>
  <si>
    <t>低</t>
  </si>
  <si>
    <t>潜在</t>
  </si>
  <si>
    <t>frontend/index.html:12-43；frontend/app.js:3320-3323</t>
  </si>
  <si>
    <t>直接托管并使用 query base_path，或未来错误信任可控 X-Forwarded-For</t>
  </si>
  <si>
    <t>可在管理员页面执行脚本并窃取 localStorage token</t>
  </si>
  <si>
    <t>移除 document.write；统一 DOM textContent/上下文转义；校验 IP；配置 CSP 并移除内联事件</t>
  </si>
  <si>
    <t>DOM XSS payload 回归测试；CSP report-only 无违规后转强制</t>
  </si>
  <si>
    <t>S-16</t>
  </si>
  <si>
    <t>密码存储</t>
  </si>
  <si>
    <t>中期</t>
  </si>
  <si>
    <t>PBKDF2 参数与盐长度偏保守</t>
  </si>
  <si>
    <t>auth_service.py:95-106</t>
  </si>
  <si>
    <t>用户库/备份泄露后离线破解</t>
  </si>
  <si>
    <t>弱密码破解成本低于当前常见基线</t>
  </si>
  <si>
    <t>优先 Argon2id；或提高 PBKDF2 迭代与盐长度；登录时渐进重哈希</t>
  </si>
  <si>
    <t>性能基准满足登录 SLO；旧 hash 登录后自动升级</t>
  </si>
  <si>
    <t>S-17</t>
  </si>
  <si>
    <t>供应链安全</t>
  </si>
  <si>
    <t>重建时</t>
  </si>
  <si>
    <t>根目录缺少 .dockerignore，构建上下文可能含敏感文件</t>
  </si>
  <si>
    <t>根目录文件清单；backend/Dockerfile:9-13</t>
  </si>
  <si>
    <t>执行 docker build 且上下文包含 .env、备份或 .git</t>
  </si>
  <si>
    <t>敏感文件被发送到 Docker daemon/build cache，即使未 COPY 进最终层</t>
  </si>
  <si>
    <t>增加严格 .dockerignore；使用 BuildKit secrets；限制 .env 权限并清理旧缓存</t>
  </si>
  <si>
    <t>docker build --no-cache 的上下文清单不含敏感文件</t>
  </si>
  <si>
    <t>D-02</t>
  </si>
  <si>
    <t>数据新鲜度</t>
  </si>
  <si>
    <t>出现失败后</t>
  </si>
  <si>
    <t>同步失败时间会被当成有效数据完成时间</t>
  </si>
  <si>
    <t>sync_data.py:282-295；datasource_query_service.py:283-285</t>
  </si>
  <si>
    <t>任意同步失败</t>
  </si>
  <si>
    <t>实际仍是旧快照，但消费者看到“刚同步”；调度器也可能延后重试</t>
  </si>
  <si>
    <t>拆分 last_attempt_at、last_success_at、current_version_finished_at；新鲜度只取成功 current 版本</t>
  </si>
  <si>
    <t>故障同步后 freshness 时间不前移，且触发重试告警</t>
  </si>
  <si>
    <t>D-03</t>
  </si>
  <si>
    <t>数据一致性</t>
  </si>
  <si>
    <t>数据增长后</t>
  </si>
  <si>
    <t>并行分页快照缺少稳定排序、snapshot-id 和业务唯一约束</t>
  </si>
  <si>
    <t>datasource_runtime.py:139-162；datasource_service.py:923-945</t>
  </si>
  <si>
    <t>同步期间源数据新增、删除或排序变化</t>
  </si>
  <si>
    <t>页间重复/漏数，80% 行数阈值也可能无法发现</t>
  </si>
  <si>
    <t>要求 snapshot-id/watermark/cursor 和稳定排序；业务键唯一约束；发布前校验 total、重复率、必填和校验和</t>
  </si>
  <si>
    <t>并发变更故障注入下无重复/漏数；校验不通过不发布</t>
  </si>
  <si>
    <t>C-01</t>
  </si>
  <si>
    <t>容量性能</t>
  </si>
  <si>
    <t>中长期</t>
  </si>
  <si>
    <t>整表快照固定保留 20 版，产生 WAL/MVCC/磁盘放大</t>
  </si>
  <si>
    <t>datasource_service.py:19-21,1010-1103</t>
  </si>
  <si>
    <t>数据量或同步频率持续增长</t>
  </si>
  <si>
    <t>默认参数理论上限为 300×10000×20=6000万逻辑行/源，另有 staging、WAL 和死元组</t>
  </si>
  <si>
    <t>优先增量 UPSERT/CDC；历史按时间分区或对象存储归档；保留改成天数+容量；监控 bloat/checkpoint</t>
  </si>
  <si>
    <t>记录每源存储放大比、WAL GB/次、dead tuple 和磁盘增长率</t>
  </si>
  <si>
    <t>O-01</t>
  </si>
  <si>
    <t>保留治理</t>
  </si>
  <si>
    <t>失败版本和同步日志无统一清理，审计却每次写入执行 60 天删除</t>
  </si>
  <si>
    <t>sync_data.py:297-345；datasource_service.py:1070-1103；audit.py:6-12,81</t>
  </si>
  <si>
    <t>长期运行、频繁故障或进入第 61 天后</t>
  </si>
  <si>
    <t>元数据/日志持续膨胀；热路径清理增加延迟和 bloat；审计证据可能过早丢失</t>
  </si>
  <si>
    <t>历史表按时间分区；失败记录限量/归档；审计保留由合规确定并进不可变存储；清理独立调度</t>
  </si>
  <si>
    <t>统计各历史表日增长、清理耗时和保留符合率</t>
  </si>
  <si>
    <t>R-02</t>
  </si>
  <si>
    <t>任务可靠性</t>
  </si>
  <si>
    <t>立即/扩容后</t>
  </si>
  <si>
    <t>任务、进度、取消均在内存，检查后启动有竞态</t>
  </si>
  <si>
    <t>sync_progress_service.py:9-20；sync_service.py:39-47</t>
  </si>
  <si>
    <t>重启/发布、同时手动与定时触发、增加 worker/副本</t>
  </si>
  <si>
    <t>任务与进度丢失、重复同步；较旧任务可能最后覆盖新版本</t>
  </si>
  <si>
    <t>持久 sync_job/队列；DB advisory lock 或租约+heartbeat；幂等 job-id；leader election 和优雅停机</t>
  </si>
  <si>
    <t>并发触发只创建一个 job；kill -9 后能恢复/重试且不重复发布</t>
  </si>
  <si>
    <t>R-03</t>
  </si>
  <si>
    <t>调度能力</t>
  </si>
  <si>
    <t>数据源增加后</t>
  </si>
  <si>
    <t>无持久 checkpoint/续传，调度器一次仅处理一个到期源</t>
  </si>
  <si>
    <t>scheduler.py:65-70；sync_data.py:387-390</t>
  </si>
  <si>
    <t>后段页面失败，或各源耗时/间隔之和达到/超过 1</t>
  </si>
  <si>
    <t>每次从第1页重来；队列长期追不上，部分源可能饥饿且无 backlog 指标</t>
  </si>
  <si>
    <t>持久 cursor/page/watermark；公平队列；按源/全局并发；暴露 overdue count 和 oldest age</t>
  </si>
  <si>
    <t>重启后从 checkpoint 继续；容量压测下 backlog 可观测并有界</t>
  </si>
  <si>
    <t>P-01</t>
  </si>
  <si>
    <t>数据库性能</t>
  </si>
  <si>
    <t>并发增加后</t>
  </si>
  <si>
    <t>无连接池、连接/SQL/锁超时；部分请求同时占数据和审计连接</t>
  </si>
  <si>
    <t>backend/db.py:75-86；public_data.py:59-103；audit.py:42-84</t>
  </si>
  <si>
    <t>慢 SQL、数据库半故障或约数十并发</t>
  </si>
  <si>
    <t>连接建立开销、连接耗尽、线程长期阻塞；同步任务被前台查询饿死</t>
  </si>
  <si>
    <t>PgBouncer/psycopg pool；池上限；connect/statement/lock/idle-in-transaction timeout；审计 outbox 异步批量</t>
  </si>
  <si>
    <t>采集 active/idle/wait 连接；50/100 并发压测无连接耗尽且超时可控</t>
  </si>
  <si>
    <t>P-02</t>
  </si>
  <si>
    <t>查询性能</t>
  </si>
  <si>
    <t>10万至百万行后</t>
  </si>
  <si>
    <t>精确 COUNT、前导通配 LIKE、深 OFFSET、SELECT * 和即时 GROUP BY</t>
  </si>
  <si>
    <t>datasource_query_service.py:223-268</t>
  </si>
  <si>
    <t>当前版本进入十万/百万行、深翻页或多人并发</t>
  </si>
  <si>
    <t>一次请求可触发 2-3 次大扫描，CPU/IO 和 p95/p99 快速上升</t>
  </si>
  <si>
    <t>pg_trgm GIN；keyset pagination；近似/异步总数；预聚合；只选可见列；SQL 预算</t>
  </si>
  <si>
    <t>1/10/100万行基准，记录冷/热 p50/p95/p99、扫描块和超时率</t>
  </si>
  <si>
    <t>P-03</t>
  </si>
  <si>
    <t>目录和调度存在 N+1 查询</t>
  </si>
  <si>
    <t>datasource_service.py:820-890；scheduler.py:27-32；sync_service.py:51-54</t>
  </si>
  <si>
    <t>数据源增至几十或上百</t>
  </si>
  <si>
    <t>目录请求 SQL 数随源数量线性增长；调度每 5 秒反复读相同配置</t>
  </si>
  <si>
    <t>批量 JOIN/聚合；权限集一次获取；默认配置每轮只读一次或有界缓存</t>
  </si>
  <si>
    <t>SQL trace 证明目录请求查询数接近常数；调度查询数不随 N 线性失控</t>
  </si>
  <si>
    <t>D-04</t>
  </si>
  <si>
    <t>Schema治理</t>
  </si>
  <si>
    <t>所有业务列均为 TEXT，动态字段只增不减且规范化可碰撞</t>
  </si>
  <si>
    <t>datasource_service.py:456-474,923-945</t>
  </si>
  <si>
    <t>上游多次改字段、出现中文/同形字段或需要数值日期分析</t>
  </si>
  <si>
    <t>宽表、类型索引失效、残留字段和潜在静默覆盖；最终触及列数/行宽限制</t>
  </si>
  <si>
    <t>Schema Registry + 字段版本映射；碰撞即拒绝发布；保留原始路径；真实数值/日期类型；显式迁移废弃字段</t>
  </si>
  <si>
    <t>中文/同形字段测试无覆盖；类型与索引生效；schema drift 有审批记录</t>
  </si>
  <si>
    <t>O-02</t>
  </si>
  <si>
    <t>资源治理</t>
  </si>
  <si>
    <t>流量/数据增长后</t>
  </si>
  <si>
    <t>容器无 CPU/内存/PID/临时盘/日志限制，后端以 root 运行</t>
  </si>
  <si>
    <t>backend/Dockerfile:1-19；docker-compose.yml:3-52</t>
  </si>
  <si>
    <t>大 page_size/max_pages、多源同步、日志持续输出或容器逃逸链</t>
  </si>
  <si>
    <t>OOM、宿主机磁盘占满、PostgreSQL 争抢资源；入侵影响扩大</t>
  </si>
  <si>
    <t>非 root 多阶段镜像；cap_drop/no-new-privileges/只读根；limits/reservations；Docker max-size/max-file</t>
  </si>
  <si>
    <t>压力测试不影响 DB SLO；日志自动轮转；容器无多余 capabilities</t>
  </si>
  <si>
    <t>R-04</t>
  </si>
  <si>
    <t>外部依赖</t>
  </si>
  <si>
    <t>网络波动时</t>
  </si>
  <si>
    <t>外部抓取只有固定 30 秒 timeout，无连接复用、重试退避、熔断和任务 deadline</t>
  </si>
  <si>
    <t>datasource_runtime.py:22-39</t>
  </si>
  <si>
    <t>瞬时网络抖动、429/5xx、证书故障或慢响应</t>
  </si>
  <si>
    <t>瞬时错误废弃已抓取页面；可能形成重试/日志风暴并阻塞全局任务</t>
  </si>
  <si>
    <t>复用客户端；幂等请求有界指数退避+jitter；尊重 Retry-After；熔断、失败预算和总 deadline</t>
  </si>
  <si>
    <t>429/5xx/慢流故障注入下重试有界、无惊群、任务按 deadline 终止</t>
  </si>
  <si>
    <t>O-03</t>
  </si>
  <si>
    <t>可观测性</t>
  </si>
  <si>
    <t>健康接口不检查 DB，调度异常被吞，缺少指标/告警/SLO</t>
  </si>
  <si>
    <t>public.py:35-37；scheduler.py:71-73；logging.py:1-7；docker-compose.yml</t>
  </si>
  <si>
    <t>DB 断开、调度器持续失败、磁盘/连接接近上限</t>
  </si>
  <si>
    <t>服务仍显示健康，故障可能直到用户投诉才发现</t>
  </si>
  <si>
    <t>分离 liveness/readiness；结构化日志；HTTP/同步新鲜度/backlog/连接池/锁/bloat/磁盘/备份指标与告警</t>
  </si>
  <si>
    <t>断 DB 时 readiness 失败；停止同步后 freshness/backlog 告警在 SLO 内触发</t>
  </si>
  <si>
    <t>O-04</t>
  </si>
  <si>
    <t>发布供应链</t>
  </si>
  <si>
    <t>下次重建/升级</t>
  </si>
  <si>
    <t>镜像和 Python 依赖未锁定，数据库迁移为 import-time 临时 DDL</t>
  </si>
  <si>
    <t>backend/Dockerfile:1；docker-compose.yml:5；requirements.txt:1-6；main.py:89-167</t>
  </si>
  <si>
    <t>任意未来重建、已有 volume 升级或多副本并发启动</t>
  </si>
  <si>
    <t>同一代码构建结果漂移；漏迁移/锁表/并发 DDL；精确 CVE 状态不可判定</t>
  </si>
  <si>
    <t>镜像 pin patch+digest；lock+hash 和 SBOM；Trivy/Grype/pip-audit；Alembic/Flyway 单独 migration job</t>
  </si>
  <si>
    <t>可重复构建 hash；迁移版本可追踪/回滚；扫描对精确制品出报告</t>
  </si>
  <si>
    <t>O-05</t>
  </si>
  <si>
    <t>运行健康</t>
  </si>
  <si>
    <t>故障时</t>
  </si>
  <si>
    <t>Compose 只有 PostgreSQL healthcheck，后端无 readiness 和自动隔离</t>
  </si>
  <si>
    <t>docker-compose.yml:18-22,24-49</t>
  </si>
  <si>
    <t>后端线程阻塞、DB schema 缺失或接口挂死但进程仍在</t>
  </si>
  <si>
    <t>restart policy 无法识别逻辑故障，流量继续打到不可用实例</t>
  </si>
  <si>
    <t>后端添加 liveness/readiness/startup probes；readiness 检查 DB 和必要 schema</t>
  </si>
  <si>
    <t>模拟线程池耗尽/DB 断开时实例自动摘流但不反复误重启</t>
  </si>
  <si>
    <t>C-02</t>
  </si>
  <si>
    <t>配置管理</t>
  </si>
  <si>
    <t>PUBLIC_URL 缺失时回落到 HTTP 占位地址，且 Compose 只传递部分安全配置</t>
  </si>
  <si>
    <t>当前配置命中</t>
  </si>
  <si>
    <t>docker-compose.yml:33-47；当前 .env 安全检查（未展示值）</t>
  </si>
  <si>
    <t>按当前部署文件启动或以后新增 env 但未同步到 Compose</t>
  </si>
  <si>
    <t>生成的 MCP 配置可能不可用/走明文；trusted proxies、限流、token TTL 等设置出现漂移</t>
  </si>
  <si>
    <t>配置启动前校验并 fail-fast；集中配置 schema；Compose 明确传递全部安全项；PUBLIC_URL 必须 HTTPS 且非占位</t>
  </si>
  <si>
    <t>缺少/HTTP/占位 URL 时启动失败；配置清单与运行时 /config 只读视图一致</t>
  </si>
  <si>
    <t>P-04</t>
  </si>
  <si>
    <t>扩容架构</t>
  </si>
  <si>
    <t>扩容后</t>
  </si>
  <si>
    <t>单 Uvicorn worker、同步阻塞 I/O；直接加 worker 会复制调度器和内存状态</t>
  </si>
  <si>
    <t>backend/Dockerfile:19；scheduler.py:18-90；sync_progress_service.py:9-20</t>
  </si>
  <si>
    <t>API 并发提升或尝试增加 worker/副本</t>
  </si>
  <si>
    <t>单 worker 吞吐受限；盲目扩容会重复调度、状态分裂和 SSE 失败</t>
  </si>
  <si>
    <t>先外置调度/会话/限流，再水平扩 API；隔离 API 与 worker；设每类工作负载并发和队列</t>
  </si>
  <si>
    <t>1→N 副本压测无重复任务；p95 随副本扩展且状态一致</t>
  </si>
  <si>
    <t>O-06</t>
  </si>
  <si>
    <t>P3</t>
  </si>
  <si>
    <t>时间与到期</t>
  </si>
  <si>
    <t>跨时区/到期时</t>
  </si>
  <si>
    <t>时间保存无 offset，部分解析直接移除 Z；token/证书缺少临期提醒</t>
  </si>
  <si>
    <t>config.py:6-7；scheduler.py:26-42；datasource_query_service.py:40-49；mcp_service.py:17-24</t>
  </si>
  <si>
    <t>跨时区部署、系统时区变化、90/180 天或证书到期</t>
  </si>
  <si>
    <t>调度/历史查询偏移；集成或 HTTPS 可能突然失效</t>
  </si>
  <si>
    <t>内部统一 UTC aware datetime；正确 ISO-8601 转换；token/证书 30/14/7 天提醒和双 token 轮换</t>
  </si>
  <si>
    <t>UTC/Z/+08:00 测试一致；到期演练能提前告警并无中断轮换</t>
  </si>
  <si>
    <t>V-01</t>
  </si>
  <si>
    <t>漏洞管理</t>
  </si>
  <si>
    <t>实际运行版本与精确 CVE 状态无法从浮动约束确认</t>
  </si>
  <si>
    <t>未实测</t>
  </si>
  <si>
    <t>postgres:16-alpine；python:3.11-slim；requirements.txt 全为 &gt;=；Docker daemon 当前不可用</t>
  </si>
  <si>
    <t>实际镜像/缓存版本低于安全修复版本</t>
  </si>
  <si>
    <t>可能带入已公开 CVE；也可能已修复，不能仅凭最低版本约束下结论</t>
  </si>
  <si>
    <t>现场导出 postgres --version、pip freeze、image digest；生成 SBOM 并用 Trivy/Grype/pip-audit 扫描；修复后锁摘要</t>
  </si>
  <si>
    <t>扫描报告必须关联精确 digest/lockfile；高危项有修复或书面豁免</t>
  </si>
  <si>
    <t>市场数据中台/湖仓性能对比（官方口径）</t>
  </si>
  <si>
    <t>性能数字来自厂商官方资料或官方论文；测试条件不同，不能把“×倍”直接做厂商排名。空白=未找到可靠公开值或当前未实测。</t>
  </si>
  <si>
    <t>产品/定位</t>
  </si>
  <si>
    <t>计算架构</t>
  </si>
  <si>
    <t>存算分离</t>
  </si>
  <si>
    <t>扩缩容/隔离</t>
  </si>
  <si>
    <t>数据规模/配置上限</t>
  </si>
  <si>
    <t>公开查询时延</t>
  </si>
  <si>
    <t>公开吞吐/QPS</t>
  </si>
  <si>
    <t>公开并发/队列</t>
  </si>
  <si>
    <t>公开基准/相对提升</t>
  </si>
  <si>
    <t>SLA/可用性</t>
  </si>
  <si>
    <t>测试口径与限制</t>
  </si>
  <si>
    <t>可借鉴点</t>
  </si>
  <si>
    <t>官方来源URL</t>
  </si>
  <si>
    <t>访问日期</t>
  </si>
  <si>
    <t>现有服务</t>
  </si>
  <si>
    <t>FastAPI + PostgreSQL + 进程内调度/ODS</t>
  </si>
  <si>
    <t>单 Uvicorn worker；同步与查询共享资源</t>
  </si>
  <si>
    <t>否（同一 PostgreSQL 卷）</t>
  </si>
  <si>
    <t>无自动扩缩/资源池/工作负载隔离</t>
  </si>
  <si>
    <t>单源配置理论上限 300×10000=300万行/次；保留20版（配置上限，非实测）</t>
  </si>
  <si>
    <t>单 API worker；run-all 最多4源×每源3页抓取线程=12个上游请求（配置上限，非基准）</t>
  </si>
  <si>
    <t>当前 Docker 未运行，未做 P95/QPS/吞吐基准；任何空白均表示未取得实测</t>
  </si>
  <si>
    <t>先补基线：1/10/100万行、20/50/100并发、冷热缓存；再做池化、索引、增量和工作负载隔离</t>
  </si>
  <si>
    <t>本部署包静态审计</t>
  </si>
  <si>
    <t>2026-07-14</t>
  </si>
  <si>
    <t>阿里云</t>
  </si>
  <si>
    <t>DataWorks + MaxCompute / Hologres</t>
  </si>
  <si>
    <t>治理控制面绑定批处理与交互引擎</t>
  </si>
  <si>
    <t>是</t>
  </si>
  <si>
    <t>资源组/CU；弹性 CU；交互查询可由 Hologres 加速</t>
  </si>
  <si>
    <t>官方称 100GB–EB；订阅/多数中国按量单用户默认上限2000 CU；&gt;10000 CU需联系支持</t>
  </si>
  <si>
    <t>Tunnel 批传/下载单通道10 MB/s；Stream Tunnel 10 MB/s/slot；Hologres 64CU点查测试平均QPS&gt;100,000（不同测试口径）</t>
  </si>
  <si>
    <t>单表并发写64分区、每分区最多32 slots；MaxQA并发随CU分档</t>
  </si>
  <si>
    <t>MaxCompute直读存储层相对其他外表类型&gt;5×；Hologres无搬迁加速MaxCompute≥10×（厂商口径）</t>
  </si>
  <si>
    <t>99.9%/月</t>
  </si>
  <si>
    <t>不同引擎/场景口径混合；MaxQA/点查结果不等同完整中台端到端性能</t>
  </si>
  <si>
    <t>控制面/计算面分离；批交互双引擎；资源组隔离；热点服务层</t>
  </si>
  <si>
    <t>https://www.alibabacloud.com/help/en/maxcompute/product-overview/what-is-maxcompute
https://www.alibabacloud.com/help/en/maxcompute/user-guide/overview-of-dts
https://help.aliyun.com/zh/hologres/user-guide/practice-use-pts-to-test-hologres-performance</t>
  </si>
  <si>
    <t>华为云</t>
  </si>
  <si>
    <t>DataArts Studio + DLI / MRS</t>
  </si>
  <si>
    <t>治理控制面 + Serverless Spark/Flink/大数据集群</t>
  </si>
  <si>
    <t>DLI弹性资源池；队列隔离；MRS集群调度</t>
  </si>
  <si>
    <t>DLI单弹性资源池最多32,000 CU，1 CU=1 vCPU+4GB；MRS Superior支持单集群&gt;10,000节点</t>
  </si>
  <si>
    <t>DLI相对开源Spark 2.5×（厂商宣称，未给完整硬件/数据集/总耗时）</t>
  </si>
  <si>
    <t>DLI多AZ队列99.95%；单AZ 99.90%</t>
  </si>
  <si>
    <t>文档同时出现分钟级资源共享调节与秒级动态扩容；资源不足时不保证达到目标CU</t>
  </si>
  <si>
    <t>队列/租户隔离；Serverless批流；容量上限和多AZ SLA写入设计</t>
  </si>
  <si>
    <t>https://support.huaweicloud.com/intl/en-us/productdesc-dli/dli_01_0378.html
https://support.huaweicloud.com/intl/en-us/productdesc-dli/dli_07_0005.html
https://www.huaweicloud.com/intl/en-us/declaration-sg/sla_dli.html</t>
  </si>
  <si>
    <t>腾讯云</t>
  </si>
  <si>
    <t>WeData + EMR Meson</t>
  </si>
  <si>
    <t>DataOps/治理控制面 + Spark/Hadoop计算</t>
  </si>
  <si>
    <t>可通过绑定引擎实现</t>
  </si>
  <si>
    <t>EMR on TKE 弹性集群；控制面编排</t>
  </si>
  <si>
    <t>TPC-DS 1TB</t>
  </si>
  <si>
    <t>Meson向量化引擎相对开源Spark提升2.7×（厂商口径）</t>
  </si>
  <si>
    <t>EMR 99.9%</t>
  </si>
  <si>
    <t>未公开硬件、Spark小版本和总耗时；未支持算子可能回退</t>
  </si>
  <si>
    <t>用向量化列式引擎；DataOps统一调度、血缘、质量；能力回退必须可观测</t>
  </si>
  <si>
    <t>https://cloud.tencent.com/document/product/589/105747
https://cloud.tencent.com/document/product/1267/71927
https://cloud.tencent.com/document/product/301/34841</t>
  </si>
  <si>
    <t>火山引擎</t>
  </si>
  <si>
    <t>DataLeap + LAS</t>
  </si>
  <si>
    <t>治理/研发控制面 + Serverless Spark/Presto/Flink</t>
  </si>
  <si>
    <t>弹性容器；统一元数据；多引擎共享</t>
  </si>
  <si>
    <t>Serverless、EB级；同硬件TPC-DS 1TB</t>
  </si>
  <si>
    <t>LAS私有化称支持百级以上事务并发</t>
  </si>
  <si>
    <t>LAS Spark 3.0/3.2相对社区Spark为2.1×/2.5×；特定线上优化平均9.6%/6.8%</t>
  </si>
  <si>
    <t>99.9%</t>
  </si>
  <si>
    <t>官方技术文章，非TPC审计；百级并发来自私有化版本，不是公有云承诺</t>
  </si>
  <si>
    <t>统一元数据和多引擎；AQE、Runtime/Bloom Filter；把特定优化命中率纳入指标</t>
  </si>
  <si>
    <t>https://developer.volcengine.com/articles/7281124077970915389/
https://developer.volcengine.com/articles/7599494236203188262
https://www.volcengine.com/docs/6492/1400224?lang=zh</t>
  </si>
  <si>
    <t>Databricks</t>
  </si>
  <si>
    <t>Lakehouse + Databricks SQL / Photon</t>
  </si>
  <si>
    <t>列式向量引擎 + Delta Lake + Serverless SQL</t>
  </si>
  <si>
    <t>Serverless IWM自动扩缩；Classic/Pro多cluster</t>
  </si>
  <si>
    <t>论文披露100TB TPC-DS使用256个i3.2xlarge节点</t>
  </si>
  <si>
    <t>Classic/Pro固定每cluster 10个并发查询；队列最多1000；API最多40 clusters</t>
  </si>
  <si>
    <t>Photon基于TPC-DS最高5×性价比；论文客户工作负载平均3×、最高&gt;10×</t>
  </si>
  <si>
    <t>5×是价格性能宣称；论文为2021/2022口径；10查询/cluster不适用于Serverless IWM</t>
  </si>
  <si>
    <t>列式向量化；Lakehouse统一批流；自动工作负载管理；计算集群短生命周期</t>
  </si>
  <si>
    <t>https://docs.databricks.com/gcp/en/compute/photon
https://docs.databricks.com/aws/en/compute/sql-warehouse/warehouse-behavior
https://www.databricks.com/de/wp-content/uploads/2022/07/Photon-A-Fast-Query-Engine-for-Lakehouse-Systems.pdf</t>
  </si>
  <si>
    <t>Snowflake</t>
  </si>
  <si>
    <t>Gen2 Warehouses + Multi-cluster</t>
  </si>
  <si>
    <t>云原生存算分离、多集群warehouse</t>
  </si>
  <si>
    <t>按warehouse隔离；排队时自动启用额外cluster</t>
  </si>
  <si>
    <t>内部TPC-DS 10TB Iceberg（2026工程博客）</t>
  </si>
  <si>
    <t>默认MAX_CONCURRENCY_LEVEL=8/cluster（调度参数，不是硬上限）；小/中warehouse最多300 clusters</t>
  </si>
  <si>
    <t>Gen2 2XL对比2025标准版：DML最高5.5×、核心分析最高1.8×；10TB Iceberg执行时间降低35%；均为厂商内部口径</t>
  </si>
  <si>
    <t>官方说明以错误率阈值计算，承诺99.9%/99.99%两条件取严</t>
  </si>
  <si>
    <t>300 clusters仅小/中、Enterprise+且SQL配置；简单/复杂查询按分数占并发槽</t>
  </si>
  <si>
    <t>工作负载独立warehouse；自动多集群；弹性和成本上限同时配置</t>
  </si>
  <si>
    <t>https://www.snowflake.com/en/blog/engineering/sql-performance-improvements-2026/
https://docs.snowflake.com/en/user-guide/warehouses-multicluster
https://www.snowflake.com/en/blog/leveling-up-sla-commitment/</t>
  </si>
  <si>
    <t>Google Cloud</t>
  </si>
  <si>
    <t>BigQuery + Dataplex</t>
  </si>
  <si>
    <t>Serverless Dremel查询 + 统一治理</t>
  </si>
  <si>
    <t>reservation/slots；近即时按50 slots倍数扩缩</t>
  </si>
  <si>
    <t>客户真实工作负载数千条查询</t>
  </si>
  <si>
    <t>Verizon Media案例：47%查询&lt;10秒、5%&gt;2分钟（匿名对手20%/&lt;10秒、43%/&gt;2分钟）</t>
  </si>
  <si>
    <t>按需默认2000 concurrent slots/project、20000/organization；交互队列1000；Storage Write连接5000/单地域、20000/US/EU</t>
  </si>
  <si>
    <t>Standard 99.9%；其他BigQuery Edition 99.99%</t>
  </si>
  <si>
    <t>slots不等于查询数；客户私有工作负载不是可复现TPC；突发容量不保证一定可获</t>
  </si>
  <si>
    <t>Serverless slot池；reservation隔离；统一catalog/治理；容量和队列配额可观测</t>
  </si>
  <si>
    <t>https://cloud.google.com/blog/products/data-analytics/benchmarking-cloud-data-warehouse-bigquery-to-scale-fast
https://docs.cloud.google.com/bigquery/quotas?hl=en
https://docs.cloud.google.com/bigquery/docs/slots
https://cloud.google.com/bigquery/sla</t>
  </si>
  <si>
    <t>AWS</t>
  </si>
  <si>
    <t>Lake Formation + Redshift Serverless</t>
  </si>
  <si>
    <t>治理控制面 + MPP / 数据湖查询</t>
  </si>
  <si>
    <t>Serverless RPU自动扩缩；Concurrency Scaling</t>
  </si>
  <si>
    <t>官方基准TPC-DS 3TB、128 RPU、S3 Parquet、每事实表约2000分区</t>
  </si>
  <si>
    <t>Concurrency Scaling默认1个，默认配额最多10个可申请提高</t>
  </si>
  <si>
    <t>patch 180+Glue列统计相对前一年patch 172总运行时间3×，个别最高12×；仅列统计使总时间改善40%</t>
  </si>
  <si>
    <t>Serverless/单AZ多节点99.9%；Multi-AZ 99.99%并声明零RPO</t>
  </si>
  <si>
    <t>是同产品纵向比较；依赖128 RPU、Parquet、分区与列统计；不是跨产品3×</t>
  </si>
  <si>
    <t>统计信息平台化；RPU/并发扩展设成本护栏；重要链路Multi-AZ</t>
  </si>
  <si>
    <t>https://aws.amazon.com/blogs/big-data/accelerate-amazon-redshift-data-lake-queries-with-column-level-statistics/
https://docs.aws.amazon.com/redshift/latest/mgmt/serverless-capacity.html
https://docs.aws.amazon.com/redshift/latest/dg/concurrency-scaling.html
https://aws.amazon.com/redshift/sla/</t>
  </si>
  <si>
    <t>可借鉴实践与分阶段落地建议</t>
  </si>
  <si>
    <t>重点借鉴的是可验证的架构机制，不是照搬产品名。每项都配有预期性能效果和可量化验收指标。</t>
  </si>
  <si>
    <t>实践</t>
  </si>
  <si>
    <t>厂商/行业例子</t>
  </si>
  <si>
    <t>当前差距</t>
  </si>
  <si>
    <t>建议目标设计</t>
  </si>
  <si>
    <t>预期性能/风险效果</t>
  </si>
  <si>
    <t>实施阶段</t>
  </si>
  <si>
    <t>前置条件</t>
  </si>
  <si>
    <t>验收KPI</t>
  </si>
  <si>
    <t>质量门禁与 last-known-good</t>
  </si>
  <si>
    <t>大厂普遍将质量治理置于发布链路</t>
  </si>
  <si>
    <t>当前先切 current 再评估，空/畸形也可发布</t>
  </si>
  <si>
    <t>采集→隔离/staging→规则校验→原子发布；失败保留旧current；一键回滚</t>
  </si>
  <si>
    <t>避免空表/坏版本直接影响消费者；恢复时间从人工回滚降到秒/分钟级</t>
  </si>
  <si>
    <t>定义关键源规则、版本原子切换</t>
  </si>
  <si>
    <t>错误版本发布率=0；回滚RTO；规则覆盖率</t>
  </si>
  <si>
    <t>控制面与计算面分离</t>
  </si>
  <si>
    <t>DataWorks/DataArts/WeData/DataLeap</t>
  </si>
  <si>
    <t>API、调度、同步、MCP共享单进程资源</t>
  </si>
  <si>
    <t>控制面只负责任务/目录/权限；worker/引擎独立扩缩；统一任务协议</t>
  </si>
  <si>
    <t>避免重计算拖慢API，扩容不复制调度器</t>
  </si>
  <si>
    <t>持久job表/队列、worker镜像</t>
  </si>
  <si>
    <t>API p95；队列等待；worker利用率；重复任务数</t>
  </si>
  <si>
    <t>按负载资源隔离</t>
  </si>
  <si>
    <t>Databricks warehouse、Snowflake warehouse、BigQuery reservation</t>
  </si>
  <si>
    <t>批同步、交互查询、SSE、审计共享后端和数据库</t>
  </si>
  <si>
    <t>实时/批处理/交互/数据服务四类队列或资源池；生产/测试隔离；min/max/优先级/超时</t>
  </si>
  <si>
    <t>降低相互争抢和尾延迟，支持可预测容量</t>
  </si>
  <si>
    <t>连接池、独立worker、资源配额</t>
  </si>
  <si>
    <t>各队列p95/p99；排队时长；SLO违约率</t>
  </si>
  <si>
    <t>存算分离 + 对象存储底座</t>
  </si>
  <si>
    <t>MaxCompute、DLI/LAS、Databricks、Snowflake、BigQuery、Redshift</t>
  </si>
  <si>
    <t>当前事实与20版快照都在单PostgreSQL卷</t>
  </si>
  <si>
    <t>原始/历史进入对象存储+Parquet/Iceberg/Delta；PG/OLAP只保留热数据与服务索引</t>
  </si>
  <si>
    <t>降低PG磁盘/WAL压力；计算可按需扩缩；历史成本更低</t>
  </si>
  <si>
    <t>对象存储、catalog、格式选型</t>
  </si>
  <si>
    <t>热/冷存储成本；扫描GB；PG增长率；恢复时间</t>
  </si>
  <si>
    <t>增量 CDC / UPSERT</t>
  </si>
  <si>
    <t>Lakehouse/云数仓普遍以增量和分区替代全表20版复制</t>
  </si>
  <si>
    <t>每次整表复制并删除旧版本</t>
  </si>
  <si>
    <t>优先按watermark/CDC增量；业务键幂等UPSERT；历史按日期分区</t>
  </si>
  <si>
    <t>同步耗时、WAL和磁盘放大从O(全表)降到O(变化量)</t>
  </si>
  <si>
    <t>上游watermark/业务键/删除语义</t>
  </si>
  <si>
    <t>变更行/秒；WAL GB/次；存储放大比；新鲜度</t>
  </si>
  <si>
    <t>列式向量化与减少扫描</t>
  </si>
  <si>
    <t>Meson、LAS、Photon、Redshift列统计</t>
  </si>
  <si>
    <t>TEXT宽表、SELECT *、COUNT、LIKE、OFFSET和即时GROUP BY</t>
  </si>
  <si>
    <t>类型化列；分区/列裁剪；统计信息；trigram/倒排；keyset；物化视图/预聚合</t>
  </si>
  <si>
    <t>降低CPU/IO与p95/p99；更好利用缓存和向量化</t>
  </si>
  <si>
    <t>查询画像和索引预算</t>
  </si>
  <si>
    <t>扫描行/块/GB；cache hit；p95/p99；spill</t>
  </si>
  <si>
    <t>统一 Catalog/血缘/权限</t>
  </si>
  <si>
    <t>DataWorks/DataArts/WeData/DataLeap/Dataplex/Lake Formation</t>
  </si>
  <si>
    <t>有目录和权限，但schema漂移、指标口径和影响分析不足</t>
  </si>
  <si>
    <t>统一表/文件/流/API catalog；列/行权限；血缘驱动变更影响；owner和敏感级别</t>
  </si>
  <si>
    <t>减少重复建设与错误变更，缩短排障和合规审计</t>
  </si>
  <si>
    <t>Schema Registry、元数据采集</t>
  </si>
  <si>
    <t>血缘覆盖率；无owner资产；变更影响命中率</t>
  </si>
  <si>
    <t>统一指标语义与分层</t>
  </si>
  <si>
    <t>阿里ODS/DWD/DWS/ADS/DIM方法论</t>
  </si>
  <si>
    <t>当前ODS动态表直接面向数据服务</t>
  </si>
  <si>
    <t>按业务复杂度建立原始、明细、汇总、应用、维度层；原子/派生指标有版本和owner</t>
  </si>
  <si>
    <t>减少重复计算与口径冲突，提升缓存/预聚合命中</t>
  </si>
  <si>
    <t>业务指标盘点</t>
  </si>
  <si>
    <t>重复指标数；口径冲突数；预聚合命中率</t>
  </si>
  <si>
    <t>持久编排、租约与Checkpoint</t>
  </si>
  <si>
    <t>大厂DataOps控制面</t>
  </si>
  <si>
    <t>daemon线程、内存状态、无续传和leader election</t>
  </si>
  <si>
    <t>持久任务状态机；lease/heartbeat；幂等job-id；checkpoint；公平队列和重试预算</t>
  </si>
  <si>
    <t>重启可恢复，避免重复/饥饿，降低从第1页重跑成本</t>
  </si>
  <si>
    <t>job表/消息队列</t>
  </si>
  <si>
    <t>重复发布=0；恢复成功率；checkpoint复用率；oldest backlog</t>
  </si>
  <si>
    <t>自动扩缩 + 成本护栏</t>
  </si>
  <si>
    <t>DLI CU、BigQuery slots、Redshift RPU、Snowflake/Databricks多cluster</t>
  </si>
  <si>
    <t>无资源上限，也无自动扩缩和队列成本边界</t>
  </si>
  <si>
    <t>baseline/min、max、预算、队列超时、降级和容量预留；关键链路不用纯共享空闲</t>
  </si>
  <si>
    <t>既避免资源耗尽，又防止弹性失控成本</t>
  </si>
  <si>
    <t>工作负载隔离、成本标签</t>
  </si>
  <si>
    <t>单位查询/同步成本；扩容时延；预算告警；降级次数</t>
  </si>
  <si>
    <t>可观测性与SLO</t>
  </si>
  <si>
    <t>云平台均将队列、容量、SLA和错误率产品化</t>
  </si>
  <si>
    <t>健康常量、异常吞掉、无p95/backlog/backup告警</t>
  </si>
  <si>
    <t>RED/USE指标；数据新鲜度SLO；队列oldest-age；DB连接/bloat/WAL；备份可恢复性</t>
  </si>
  <si>
    <t>从用户投诉发现转为提前发现；容量规划有数据</t>
  </si>
  <si>
    <t>0-30天</t>
  </si>
  <si>
    <t>指标采集、告警通道、值班流程</t>
  </si>
  <si>
    <t>MTTD/MTTR；SLO达成率；告警有效率；备份恢复成功率</t>
  </si>
  <si>
    <t>可复现性能POC</t>
  </si>
  <si>
    <t>厂商都提供不同口径，需自有负载校准</t>
  </si>
  <si>
    <t>当前无P95/QPS/吞吐实测，无法和市场数字直接排位</t>
  </si>
  <si>
    <t>固定1TB/10TB或现有1/10/100万行；20-100并发；冷热两轮；流批混跑；故障注入</t>
  </si>
  <si>
    <t>形成可决策的容量曲线，避免用厂商倍数做错误采购/架构结论</t>
  </si>
  <si>
    <t>脱敏样本、压测环境、统一脚本</t>
  </si>
  <si>
    <t>p50/p95/p99、QPS、rows/s、扫描GB、失败率、单位成本</t>
  </si>
  <si>
    <t>最小权限与集中秘密管理</t>
  </si>
  <si>
    <t>Lake Formation/云IAM/KMS/Vault模式</t>
  </si>
  <si>
    <t>PG超级用户、业务配置存secret、MCP token可回读</t>
  </si>
  <si>
    <t>迁移/运行角色分离；KMS/Vault；短效凭据；一次展示；统一轮换和审计</t>
  </si>
  <si>
    <t>缩小单点泄露爆炸半径，降低长期凭据风险</t>
  </si>
  <si>
    <t>IAM/KMS/Vault、轮换窗口</t>
  </si>
  <si>
    <t>明文secret数=0；凭据平均寿命；轮换成功率</t>
  </si>
  <si>
    <t>正式迁移与供应链治理</t>
  </si>
  <si>
    <t>成熟平台的版本化制品/迁移流水线</t>
  </si>
  <si>
    <t>浮动tag、&gt;=依赖、import-time DDL、无SBOM</t>
  </si>
  <si>
    <t>digest/lock+hash；SBOM/签名/扫描；编号迁移单独执行；回滚/兼容窗口</t>
  </si>
  <si>
    <t>避免未来重建漂移、启动锁表和未知CVE</t>
  </si>
  <si>
    <t>CI/CD与制品仓库</t>
  </si>
  <si>
    <t>可重复构建率；高危CVE修复时长；迁移失败率</t>
  </si>
  <si>
    <t>高可用、PITR与恢复演练</t>
  </si>
  <si>
    <t>BigQuery/Snowflake/云数仓SLA；Redshift Multi-AZ</t>
  </si>
  <si>
    <t>单机单卷，手工备份说明</t>
  </si>
  <si>
    <t>自动备份+WAL/PITR；跨故障域副本；季度恢复演练；明确RPO/RTO</t>
  </si>
  <si>
    <t>将灾难恢复从不可知变为可验证</t>
  </si>
  <si>
    <t>异地存储/托管PG或副本</t>
  </si>
  <si>
    <t>RPO/RTO；备份成功率；恢复演练通过率</t>
  </si>
  <si>
    <t>指标口径、官方来源与限制</t>
  </si>
  <si>
    <t>所有市场资料均以官方页面为主；URL保留在工作簿中，便于复核。空白性能项未用二手信息或推测补齐。</t>
  </si>
  <si>
    <t>类型</t>
  </si>
  <si>
    <t>平台/主题</t>
  </si>
  <si>
    <t>指标</t>
  </si>
  <si>
    <t>官方值/定义摘要</t>
  </si>
  <si>
    <t>适用范围与限制</t>
  </si>
  <si>
    <t>来源URL</t>
  </si>
  <si>
    <t>口径</t>
  </si>
  <si>
    <t>查询时延</t>
  </si>
  <si>
    <t>建议以端到端 p50/p95/p99 统计，区分冷/热缓存与数据量</t>
  </si>
  <si>
    <t>当前没有运行时基准，因此性能对比表留空</t>
  </si>
  <si>
    <t>QPS/吞吐</t>
  </si>
  <si>
    <t>固定并发和持续时间，分别记录请求/秒、成功率、rows/s、MB/s</t>
  </si>
  <si>
    <t>配置中的线程数、page_size或slot不等于实测吞吐</t>
  </si>
  <si>
    <t>跨厂商</t>
  </si>
  <si>
    <t>相对提升</t>
  </si>
  <si>
    <t>只能在同数据集、硬件、版本、缓存、并发和成本口径一致时横比</t>
  </si>
  <si>
    <t>表内所有厂商倍数均保留厂商测试限制，不能直接排序</t>
  </si>
  <si>
    <t>官方来源</t>
  </si>
  <si>
    <t>阿里云 MaxCompute</t>
  </si>
  <si>
    <t>产品规模/相对加速</t>
  </si>
  <si>
    <t>100GB-EB；直读存储层&gt;5×；Hologres无搬迁加速≥10×（厂商口径）</t>
  </si>
  <si>
    <t>产品说明，非统一TPC审计结果</t>
  </si>
  <si>
    <t>https://www.alibabacloud.com/help/en/maxcompute/product-overview/what-is-maxcompute</t>
  </si>
  <si>
    <t>数据传输规格</t>
  </si>
  <si>
    <t>批传/下载单通道10MB/s；Stream Tunnel 10MB/s/slot；分区/slot并发限制</t>
  </si>
  <si>
    <t>协议/通道规格，不等于端到端任务吞吐</t>
  </si>
  <si>
    <t>https://www.alibabacloud.com/help/en/maxcompute/user-guide/overview-of-dts</t>
  </si>
  <si>
    <t>阿里云 Hologres</t>
  </si>
  <si>
    <t>点查/批量查询</t>
  </si>
  <si>
    <t>64CU、100GB TPC-H场景；点查平均QPS&gt;100,000；批量点吞吐约1,044,570点/秒</t>
  </si>
  <si>
    <t>官方PTS实践，需保留并发、数据模型、缓存等测试条件</t>
  </si>
  <si>
    <t>https://help.aliyun.com/zh/hologres/user-guide/practice-use-pts-to-test-hologres-performance</t>
  </si>
  <si>
    <t>SLA</t>
  </si>
  <si>
    <t>仅付费服务；按文档窗口/错误率定义</t>
  </si>
  <si>
    <t>https://www.alibabacloud.com/help/en/legal/latest/maxcompute-service-level-agreement</t>
  </si>
  <si>
    <t>华为云 DLI</t>
  </si>
  <si>
    <t>Spark相对性能</t>
  </si>
  <si>
    <t>相对开源Spark 2.5×（厂商宣称）</t>
  </si>
  <si>
    <t>未公开完整硬件、数据集、版本与总耗时</t>
  </si>
  <si>
    <t>https://support.huaweicloud.com/intl/en-us/productdesc-dli/dli_01_0378.html</t>
  </si>
  <si>
    <t>资源上限</t>
  </si>
  <si>
    <t>单弹性资源池最多32,000 CU；1 CU=1vCPU+4GB</t>
  </si>
  <si>
    <t>资源不足时不保证扩至目标；以区域/账户实际配额为准</t>
  </si>
  <si>
    <t>https://support.huaweicloud.com/intl/en-us/productdesc-dli/dli_07_0005.html</t>
  </si>
  <si>
    <t>多AZ 99.95%；单AZ 99.90%</t>
  </si>
  <si>
    <t>连续不可访问超过5分钟才计入，按官方定义</t>
  </si>
  <si>
    <t>https://www.huaweicloud.com/intl/en-us/declaration-sg/sla_dli.html</t>
  </si>
  <si>
    <t>腾讯云 EMR Meson</t>
  </si>
  <si>
    <t>TPC-DS 1TB相对提升</t>
  </si>
  <si>
    <t>相对开源Spark 2.7×（厂商口径）</t>
  </si>
  <si>
    <t>未公开硬件、开源Spark小版本与总耗时；算子可能回退</t>
  </si>
  <si>
    <t>https://cloud.tencent.com/document/product/589/105747</t>
  </si>
  <si>
    <t>腾讯云 WeData</t>
  </si>
  <si>
    <t>平台架构</t>
  </si>
  <si>
    <t>DataOps/治理/调度控制面</t>
  </si>
  <si>
    <t>控制面能力不等于底层引擎性能</t>
  </si>
  <si>
    <t>https://cloud.tencent.com/document/product/1267/71927</t>
  </si>
  <si>
    <t>腾讯云 EMR</t>
  </si>
  <si>
    <t>按地域/账号/API有效请求与5分钟统计单位</t>
  </si>
  <si>
    <t>https://cloud.tencent.com/document/product/301/34841</t>
  </si>
  <si>
    <t>火山引擎 LAS</t>
  </si>
  <si>
    <t>TPC-DS/线上优化</t>
  </si>
  <si>
    <t>1TB同硬件2.1×/2.5×；特定优化平均9.6%/6.8%</t>
  </si>
  <si>
    <t>官方技术文章，非TPC审计；不同优化不能相加</t>
  </si>
  <si>
    <t>https://developer.volcengine.com/articles/7281124077970915389/</t>
  </si>
  <si>
    <t>Serverless架构</t>
  </si>
  <si>
    <t>EB级、存算分离、弹性容器、多引擎统一元数据</t>
  </si>
  <si>
    <t>架构/规模说明，未提供统一端到端时延</t>
  </si>
  <si>
    <t>https://developer.volcengine.com/articles/7599494236203188262</t>
  </si>
  <si>
    <t>按连续5分钟错误率和有效请求阈值定义</t>
  </si>
  <si>
    <t>https://www.volcengine.com/docs/6492/1400224?lang=zh</t>
  </si>
  <si>
    <t>Databricks Photon</t>
  </si>
  <si>
    <t>价格性能</t>
  </si>
  <si>
    <t>基于TPC-DS最高5×性价比（厂商宣称）</t>
  </si>
  <si>
    <t>不是绝对时延；当前页未给完整硬件和成本公式</t>
  </si>
  <si>
    <t>https://docs.databricks.com/gcp/en/compute/photon</t>
  </si>
  <si>
    <t>Databricks SQL</t>
  </si>
  <si>
    <t>并发与队列</t>
  </si>
  <si>
    <t>Classic/Pro每cluster 10并发查询；队列1000；API最多40 clusters</t>
  </si>
  <si>
    <t>不适用于Serverless IWM</t>
  </si>
  <si>
    <t>https://docs.databricks.com/aws/en/compute/sql-warehouse/warehouse-behavior</t>
  </si>
  <si>
    <t>研究论文</t>
  </si>
  <si>
    <t>客户工作负载/TPC-DS</t>
  </si>
  <si>
    <t>平均3×、最高&gt;10×；100TB使用256个i3.2xlarge</t>
  </si>
  <si>
    <t>2021/2022论文口径</t>
  </si>
  <si>
    <t>https://www.databricks.com/de/wp-content/uploads/2022/07/Photon-A-Fast-Query-Engine-for-Lakehouse-Systems.pdf</t>
  </si>
  <si>
    <t>Snowflake Gen2</t>
  </si>
  <si>
    <t>2026性能改善</t>
  </si>
  <si>
    <t>2XL对比2025标准：DML最高5.5×、核心分析最高1.8×；10TB Iceberg降低35%</t>
  </si>
  <si>
    <t>Snowflake内部工程测试，不是跨厂商统一基准</t>
  </si>
  <si>
    <t>https://www.snowflake.com/en/blog/engineering/sql-performance-improvements-2026/</t>
  </si>
  <si>
    <t>多集群上限</t>
  </si>
  <si>
    <t>默认10；小/中最多300，随warehouse变大逐级下降</t>
  </si>
  <si>
    <t>Enterprise+；UI/SQL配置方式和调度参数有限制</t>
  </si>
  <si>
    <t>https://docs.snowflake.com/en/user-guide/warehouses-multicluster</t>
  </si>
  <si>
    <t>SLA说明</t>
  </si>
  <si>
    <t>错误率&lt;1%的时间99.9%，且错误率&lt;10%的时间99.99%，取更严格</t>
  </si>
  <si>
    <t>以官方服务条款为准</t>
  </si>
  <si>
    <t>https://www.snowflake.com/en/blog/leveling-up-sla-commitment/</t>
  </si>
  <si>
    <t>Google BigQuery</t>
  </si>
  <si>
    <t>客户查询时延分布</t>
  </si>
  <si>
    <t>Verizon Media真实查询：47%&lt;10秒；5%&gt;2分钟</t>
  </si>
  <si>
    <t>对手匿名、私有工作负载，不可当作TPC横比</t>
  </si>
  <si>
    <t>https://cloud.google.com/blog/products/data-analytics/benchmarking-cloud-data-warehouse-bigquery-to-scale-fast</t>
  </si>
  <si>
    <t>配额/并发</t>
  </si>
  <si>
    <t>2000 concurrent slots/project；交互队列1000；Storage Write连接5000/20000</t>
  </si>
  <si>
    <t>slots不等于并发查询数；受区域容量与配额影响</t>
  </si>
  <si>
    <t>https://docs.cloud.google.com/bigquery/quotas?hl=en</t>
  </si>
  <si>
    <t>弹性slots</t>
  </si>
  <si>
    <t>近即时按50 slots倍数扩缩；扩容后至少保留/计费60秒</t>
  </si>
  <si>
    <t>容量不保证每次突发均可获得</t>
  </si>
  <si>
    <t>https://docs.cloud.google.com/bigquery/docs/slots</t>
  </si>
  <si>
    <t>Standard 99.9%；其他Edition 99.99%</t>
  </si>
  <si>
    <t>BigQuery Omni不在此SLA内</t>
  </si>
  <si>
    <t>https://cloud.google.com/bigquery/sla</t>
  </si>
  <si>
    <t>AWS Redshift</t>
  </si>
  <si>
    <t>3TB纵向基准</t>
  </si>
  <si>
    <t>128RPU，patch+列统计总时间3×；仅列统计改善40%</t>
  </si>
  <si>
    <t>同产品纵向比较，不代表跨产品快3×</t>
  </si>
  <si>
    <t>https://aws.amazon.com/blogs/big-data/accelerate-amazon-redshift-data-lake-queries-with-column-level-statistics/</t>
  </si>
  <si>
    <t>Serverless容量</t>
  </si>
  <si>
    <t>4-512 RPU，部分地域1024；1RPU=16GB</t>
  </si>
  <si>
    <t>数据规模建议与可用上限因地域而异</t>
  </si>
  <si>
    <t>https://docs.aws.amazon.com/redshift/latest/mgmt/serverless-capacity.html</t>
  </si>
  <si>
    <t>并发扩展</t>
  </si>
  <si>
    <t>默认1个扩展cluster；默认配额最多10个可申请提高</t>
  </si>
  <si>
    <t>部分查询/对象类型不支持并发扩展</t>
  </si>
  <si>
    <t>https://docs.aws.amazon.com/redshift/latest/dg/concurrency-scaling.html</t>
  </si>
  <si>
    <t>Serverless/单AZ多节点99.9%；Multi-AZ 99.99%</t>
  </si>
  <si>
    <t>Multi-AZ文档声明零RPO；以服务条款为准</t>
  </si>
  <si>
    <t>https://aws.amazon.com/redshift/sla/</t>
  </si>
  <si>
    <t>安全来源</t>
  </si>
  <si>
    <t>PostgreSQL 16</t>
  </si>
  <si>
    <t>版本核验</t>
  </si>
  <si>
    <t>官方安全页用于对精确16.x版本核对已修复CVE</t>
  </si>
  <si>
    <t>当前只有浮动tag，不能认定具体CVE已存在或已修复</t>
  </si>
  <si>
    <t>https://www.postgresql.org/support/security/16/</t>
  </si>
  <si>
    <t>Python依赖</t>
  </si>
  <si>
    <t>供应链核验</t>
  </si>
  <si>
    <t>实际pip freeze/SBOM应交给pip-audit/Trivy/Grype与官方公告核验</t>
  </si>
  <si>
    <t>源码仅给最低版本下限，不能生成准确漏洞结论</t>
  </si>
  <si>
    <t>https://github.com/pypa/pip-audit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</si>
</sst>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20"/>
      <color rgb="FFFFFFFF"/>
      <name val="Microsoft YaHei"/>
      <charset val="134"/>
    </font>
    <font>
      <i/>
      <sz val="9"/>
      <color rgb="FF172B3A"/>
      <name val="Microsoft YaHei"/>
      <charset val="134"/>
    </font>
    <font>
      <sz val="9"/>
      <color rgb="FF172B3A"/>
      <name val="Microsoft YaHei"/>
      <charset val="134"/>
    </font>
    <font>
      <b/>
      <sz val="10"/>
      <color rgb="FFFFFFFF"/>
      <name val="Microsoft YaHei"/>
      <charset val="134"/>
    </font>
    <font>
      <b/>
      <sz val="9"/>
      <color rgb="FF172B3A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4324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DF4F1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medium">
        <color rgb="FFA16207"/>
      </left>
      <right/>
      <top style="medium">
        <color rgb="FFA16207"/>
      </top>
      <bottom/>
      <diagonal/>
    </border>
    <border>
      <left/>
      <right/>
      <top style="medium">
        <color rgb="FFA16207"/>
      </top>
      <bottom/>
      <diagonal/>
    </border>
    <border>
      <left/>
      <right style="medium">
        <color rgb="FFA16207"/>
      </right>
      <top style="medium">
        <color rgb="FFA16207"/>
      </top>
      <bottom/>
      <diagonal/>
    </border>
    <border>
      <left style="medium">
        <color rgb="FFA16207"/>
      </left>
      <right/>
      <top/>
      <bottom style="medium">
        <color rgb="FFA16207"/>
      </bottom>
      <diagonal/>
    </border>
    <border>
      <left/>
      <right/>
      <top/>
      <bottom style="medium">
        <color rgb="FFA16207"/>
      </bottom>
      <diagonal/>
    </border>
    <border>
      <left/>
      <right style="medium">
        <color rgb="FFA16207"/>
      </right>
      <top/>
      <bottom style="medium">
        <color rgb="FFA1620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8" fillId="14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/>
    <xf numFmtId="0" fontId="4" fillId="4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5" fillId="5" borderId="1" xfId="49" applyNumberFormat="1" applyFont="1" applyFill="1" applyBorder="1" applyAlignment="1">
      <alignment vertical="top" wrapText="1"/>
    </xf>
    <xf numFmtId="0" fontId="5" fillId="6" borderId="0" xfId="49" applyNumberFormat="1" applyFont="1" applyFill="1" applyBorder="1" applyAlignment="1">
      <alignment vertical="center" wrapText="1"/>
    </xf>
    <xf numFmtId="0" fontId="5" fillId="4" borderId="1" xfId="49" applyNumberFormat="1" applyFont="1" applyFill="1" applyBorder="1" applyAlignment="1">
      <alignment horizontal="center" vertical="center"/>
    </xf>
    <xf numFmtId="0" fontId="5" fillId="7" borderId="1" xfId="49" applyNumberFormat="1" applyFont="1" applyFill="1" applyBorder="1" applyAlignment="1">
      <alignment horizontal="center" vertical="center"/>
    </xf>
    <xf numFmtId="0" fontId="5" fillId="8" borderId="1" xfId="49" applyNumberFormat="1" applyFont="1" applyFill="1" applyBorder="1" applyAlignment="1">
      <alignment horizontal="center" vertical="center"/>
    </xf>
    <xf numFmtId="0" fontId="5" fillId="9" borderId="1" xfId="49" applyNumberFormat="1" applyFont="1" applyFill="1" applyBorder="1" applyAlignment="1">
      <alignment horizontal="center" vertical="center"/>
    </xf>
    <xf numFmtId="0" fontId="5" fillId="5" borderId="1" xfId="49" applyNumberFormat="1" applyFont="1" applyFill="1" applyBorder="1" applyAlignment="1">
      <alignment horizontal="center" vertical="center"/>
    </xf>
    <xf numFmtId="0" fontId="3" fillId="10" borderId="1" xfId="49" applyNumberFormat="1" applyFont="1" applyFill="1" applyBorder="1" applyAlignment="1">
      <alignment horizontal="center" vertical="center" wrapText="1"/>
    </xf>
    <xf numFmtId="0" fontId="5" fillId="5" borderId="2" xfId="49" applyNumberFormat="1" applyFont="1" applyFill="1" applyBorder="1" applyAlignment="1">
      <alignment vertical="center" wrapText="1"/>
    </xf>
    <xf numFmtId="0" fontId="5" fillId="5" borderId="3" xfId="49" applyNumberFormat="1" applyFont="1" applyFill="1" applyBorder="1" applyAlignment="1">
      <alignment vertical="center" wrapText="1"/>
    </xf>
    <xf numFmtId="0" fontId="5" fillId="5" borderId="4" xfId="49" applyNumberFormat="1" applyFont="1" applyFill="1" applyBorder="1" applyAlignment="1">
      <alignment vertical="center" wrapText="1"/>
    </xf>
    <xf numFmtId="0" fontId="5" fillId="5" borderId="5" xfId="49" applyNumberFormat="1" applyFont="1" applyFill="1" applyBorder="1" applyAlignment="1">
      <alignment vertical="center" wrapText="1"/>
    </xf>
    <xf numFmtId="0" fontId="5" fillId="5" borderId="6" xfId="49" applyNumberFormat="1" applyFont="1" applyFill="1" applyBorder="1" applyAlignment="1">
      <alignment vertical="center" wrapText="1"/>
    </xf>
    <xf numFmtId="0" fontId="5" fillId="5" borderId="7" xfId="49" applyNumberFormat="1" applyFont="1" applyFill="1" applyBorder="1" applyAlignment="1">
      <alignment vertical="center" wrapText="1"/>
    </xf>
    <xf numFmtId="0" fontId="5" fillId="3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C2410C"/>
      </font>
      <fill>
        <patternFill patternType="solid">
          <bgColor rgb="FFFFEDD5"/>
        </patternFill>
      </fill>
    </dxf>
    <dxf>
      <font>
        <b val="1"/>
        <color rgb="FFA16207"/>
      </font>
      <fill>
        <patternFill patternType="solid">
          <bgColor rgb="FFFEF3C7"/>
        </patternFill>
      </fill>
    </dxf>
    <dxf>
      <fill>
        <patternFill patternType="solid">
          <bgColor rgb="FFEEF2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mmaryActions" displayName="SummaryActions" ref="A13:H21" totalsRowShown="0">
  <autoFilter xmlns:etc="http://www.wps.cn/officeDocument/2017/etCustomData" ref="A13:H21" etc:filterBottomFollowUsedRange="0"/>
  <tableColumns count="8">
    <tableColumn id="1" name="时间窗"/>
    <tableColumn id="2" name="动作"/>
    <tableColumn id="3" name="解决的首要风险"/>
    <tableColumn id="4" name="完成判定"/>
    <tableColumn id="5" name="主责建议"/>
    <tableColumn id="6" name="依赖"/>
    <tableColumn id="7" name="性能影响"/>
    <tableColumn id="8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rviceInventory" displayName="ServiceInventory" ref="A4:K13" totalsRowShown="0">
  <autoFilter xmlns:etc="http://www.wps.cn/officeDocument/2017/etCustomData" ref="A4:K13" etc:filterBottomFollowUsedRange="0"/>
  <tableColumns count="11">
    <tableColumn id="1" name="组件"/>
    <tableColumn id="2" name="版本/配置"/>
    <tableColumn id="3" name="部署形态"/>
    <tableColumn id="4" name="暴露面"/>
    <tableColumn id="5" name="健康/状态"/>
    <tableColumn id="6" name="安全控制"/>
    <tableColumn id="7" name="性能/容量特征"/>
    <tableColumn id="8" name="持久性/HA"/>
    <tableColumn id="9" name="证据"/>
    <tableColumn id="10" name="风险等级"/>
    <tableColumn id="11" name="需补采/验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skRegister" displayName="RiskRegister" ref="A4:Q42" totalsRowShown="0">
  <autoFilter xmlns:etc="http://www.wps.cn/officeDocument/2017/etCustomData" ref="A4:Q42" etc:filterBottomFollowUsedRange="0"/>
  <tableColumns count="17">
    <tableColumn id="1" name="ID"/>
    <tableColumn id="2" name="优先级"/>
    <tableColumn id="3" name="类别"/>
    <tableColumn id="4" name="触发时间"/>
    <tableColumn id="5" name="问题"/>
    <tableColumn id="6" name="严重度"/>
    <tableColumn id="7" name="可能性"/>
    <tableColumn id="8" name="当前状态"/>
    <tableColumn id="9" name="代码/配置证据"/>
    <tableColumn id="10" name="触发条件"/>
    <tableColumn id="11" name="影响"/>
    <tableColumn id="12" name="建议整改"/>
    <tableColumn id="13" name="验收/复测"/>
    <tableColumn id="14" name="置信度"/>
    <tableColumn id="15" name="跟踪状态"/>
    <tableColumn id="16" name="负责人"/>
    <tableColumn id="17" name="目标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rformanceComparison" displayName="PerformanceComparison" ref="A4:O13" totalsRowShown="0">
  <autoFilter xmlns:etc="http://www.wps.cn/officeDocument/2017/etCustomData" ref="A4:O13" etc:filterBottomFollowUsedRange="0"/>
  <tableColumns count="15">
    <tableColumn id="1" name="平台"/>
    <tableColumn id="2" name="产品/定位"/>
    <tableColumn id="3" name="计算架构"/>
    <tableColumn id="4" name="存算分离"/>
    <tableColumn id="5" name="扩缩容/隔离"/>
    <tableColumn id="6" name="数据规模/配置上限"/>
    <tableColumn id="7" name="公开查询时延"/>
    <tableColumn id="8" name="公开吞吐/QPS"/>
    <tableColumn id="9" name="公开并发/队列"/>
    <tableColumn id="10" name="公开基准/相对提升"/>
    <tableColumn id="11" name="SLA/可用性"/>
    <tableColumn id="12" name="测试口径与限制"/>
    <tableColumn id="13" name="可借鉴点"/>
    <tableColumn id="14" name="官方来源URL"/>
    <tableColumn id="15" name="访问日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orrowablePractices" displayName="BorrowablePractices" ref="A4:I19" totalsRowShown="0">
  <autoFilter xmlns:etc="http://www.wps.cn/officeDocument/2017/etCustomData" ref="A4:I19" etc:filterBottomFollowUsedRange="0"/>
  <tableColumns count="9">
    <tableColumn id="1" name="实践"/>
    <tableColumn id="2" name="厂商/行业例子"/>
    <tableColumn id="3" name="当前差距"/>
    <tableColumn id="4" name="建议目标设计"/>
    <tableColumn id="5" name="预期性能/风险效果"/>
    <tableColumn id="6" name="优先级"/>
    <tableColumn id="7" name="实施阶段"/>
    <tableColumn id="8" name="前置条件"/>
    <tableColumn id="9" name="验收KP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tricSources" displayName="MetricSources" ref="A4:G36" totalsRowShown="0">
  <autoFilter xmlns:etc="http://www.wps.cn/officeDocument/2017/etCustomData" ref="A4:G36" etc:filterBottomFollowUsedRange="0"/>
  <tableColumns count="7">
    <tableColumn id="1" name="类型"/>
    <tableColumn id="2" name="平台/主题"/>
    <tableColumn id="3" name="指标"/>
    <tableColumn id="4" name="官方值/定义摘要"/>
    <tableColumn id="5" name="适用范围与限制"/>
    <tableColumn id="6" name="来源URL"/>
    <tableColumn id="7" name="访问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tabSelected="1" topLeftCell="A5" workbookViewId="0">
      <selection activeCell="E27" sqref="E27"/>
    </sheetView>
  </sheetViews>
  <sheetFormatPr defaultColWidth="9" defaultRowHeight="14.1"/>
  <cols>
    <col min="1" max="1" width="12" customWidth="1"/>
    <col min="2" max="2" width="30" customWidth="1"/>
    <col min="3" max="3" width="22" customWidth="1"/>
    <col min="4" max="4" width="36" customWidth="1"/>
    <col min="5" max="5" width="14" customWidth="1"/>
    <col min="6" max="6" width="20" customWidth="1"/>
    <col min="7" max="7" width="24" customWidth="1"/>
    <col min="8" max="8" width="12" customWidth="1"/>
    <col min="9" max="14" width="10" customWidth="1"/>
  </cols>
  <sheetData>
    <row r="1" ht="36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8" customHeight="1" spans="1:1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8" t="s">
        <v>3</v>
      </c>
      <c r="B6" s="8"/>
      <c r="C6" s="8" t="s">
        <v>4</v>
      </c>
      <c r="D6" s="8"/>
      <c r="E6" s="8" t="s">
        <v>5</v>
      </c>
      <c r="F6" s="8"/>
      <c r="G6" s="8" t="s">
        <v>6</v>
      </c>
      <c r="H6" s="8"/>
      <c r="I6" s="8" t="s">
        <v>7</v>
      </c>
      <c r="J6" s="8"/>
      <c r="K6" s="8" t="s">
        <v>8</v>
      </c>
      <c r="L6" s="8"/>
      <c r="M6" s="8"/>
      <c r="N6" s="8"/>
    </row>
    <row r="7" spans="1:14">
      <c r="A7" s="9">
        <f>COUNTIF(风险清单!$F$5:$F$80,"极高")</f>
        <v>7</v>
      </c>
      <c r="B7" s="9"/>
      <c r="C7" s="10">
        <f>COUNTIF(风险清单!$F$5:$F$80,"高")</f>
        <v>21</v>
      </c>
      <c r="D7" s="10"/>
      <c r="E7" s="11">
        <f>COUNTIF(风险清单!$F$5:$F$80,"中")</f>
        <v>9</v>
      </c>
      <c r="F7" s="11"/>
      <c r="G7" s="11">
        <f>COUNTA(风险清单!$A$5:$A$80)</f>
        <v>38</v>
      </c>
      <c r="H7" s="11"/>
      <c r="I7" s="11">
        <f>COUNTIF(风险清单!$H$5:$H$80,"需现场确认")+COUNTIF(风险清单!$H$5:$H$80,"未实测")</f>
        <v>2</v>
      </c>
      <c r="J7" s="11"/>
      <c r="K7" s="12" t="s">
        <v>9</v>
      </c>
      <c r="L7" s="12"/>
      <c r="M7" s="12"/>
      <c r="N7" s="12"/>
    </row>
    <row r="8" spans="1:14">
      <c r="A8" s="13" t="s">
        <v>10</v>
      </c>
      <c r="B8" s="13"/>
      <c r="C8" s="13" t="s">
        <v>11</v>
      </c>
      <c r="D8" s="13"/>
      <c r="E8" s="13" t="s">
        <v>12</v>
      </c>
      <c r="F8" s="13"/>
      <c r="G8" s="13" t="s">
        <v>13</v>
      </c>
      <c r="H8" s="13"/>
      <c r="I8" s="13" t="s">
        <v>14</v>
      </c>
      <c r="J8" s="13"/>
      <c r="K8" s="13" t="s">
        <v>15</v>
      </c>
      <c r="L8" s="13"/>
      <c r="M8" s="13"/>
      <c r="N8" s="13"/>
    </row>
    <row r="9" ht="14.85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14" t="s">
        <v>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</row>
    <row r="11" ht="14.85" spans="1:1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30" customHeight="1" spans="1:14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  <c r="I13" s="4"/>
      <c r="J13" s="4"/>
      <c r="K13" s="4"/>
      <c r="L13" s="4"/>
      <c r="M13" s="4"/>
      <c r="N13" s="4"/>
    </row>
    <row r="14" ht="30" customHeight="1" spans="1:14">
      <c r="A14" s="20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3"/>
      <c r="J14" s="3"/>
      <c r="K14" s="3"/>
      <c r="L14" s="3"/>
      <c r="M14" s="3"/>
      <c r="N14" s="3"/>
    </row>
    <row r="15" ht="30" customHeight="1" spans="1:14">
      <c r="A15" s="20" t="s">
        <v>33</v>
      </c>
      <c r="B15" s="5" t="s">
        <v>34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32</v>
      </c>
      <c r="I15" s="3"/>
      <c r="J15" s="3"/>
      <c r="K15" s="3"/>
      <c r="L15" s="3"/>
      <c r="M15" s="3"/>
      <c r="N15" s="3"/>
    </row>
    <row r="16" ht="30" customHeight="1" spans="1:14">
      <c r="A16" s="20" t="s">
        <v>40</v>
      </c>
      <c r="B16" s="5" t="s">
        <v>41</v>
      </c>
      <c r="C16" s="5" t="s">
        <v>42</v>
      </c>
      <c r="D16" s="5" t="s">
        <v>43</v>
      </c>
      <c r="E16" s="5" t="s">
        <v>37</v>
      </c>
      <c r="F16" s="5" t="s">
        <v>44</v>
      </c>
      <c r="G16" s="5" t="s">
        <v>45</v>
      </c>
      <c r="H16" s="5" t="s">
        <v>32</v>
      </c>
      <c r="I16" s="3"/>
      <c r="J16" s="3"/>
      <c r="K16" s="3"/>
      <c r="L16" s="3"/>
      <c r="M16" s="3"/>
      <c r="N16" s="3"/>
    </row>
    <row r="17" ht="30" customHeight="1" spans="1:14">
      <c r="A17" s="20" t="s">
        <v>40</v>
      </c>
      <c r="B17" s="5" t="s">
        <v>46</v>
      </c>
      <c r="C17" s="5" t="s">
        <v>47</v>
      </c>
      <c r="D17" s="5" t="s">
        <v>48</v>
      </c>
      <c r="E17" s="5" t="s">
        <v>49</v>
      </c>
      <c r="F17" s="5" t="s">
        <v>50</v>
      </c>
      <c r="G17" s="5" t="s">
        <v>51</v>
      </c>
      <c r="H17" s="5" t="s">
        <v>32</v>
      </c>
      <c r="I17" s="3"/>
      <c r="J17" s="3"/>
      <c r="K17" s="3"/>
      <c r="L17" s="3"/>
      <c r="M17" s="3"/>
      <c r="N17" s="3"/>
    </row>
    <row r="18" ht="30" customHeight="1" spans="1:14">
      <c r="A18" s="20" t="s">
        <v>40</v>
      </c>
      <c r="B18" s="5" t="s">
        <v>52</v>
      </c>
      <c r="C18" s="5" t="s">
        <v>53</v>
      </c>
      <c r="D18" s="5" t="s">
        <v>54</v>
      </c>
      <c r="E18" s="5" t="s">
        <v>55</v>
      </c>
      <c r="F18" s="5" t="s">
        <v>56</v>
      </c>
      <c r="G18" s="5" t="s">
        <v>57</v>
      </c>
      <c r="H18" s="5" t="s">
        <v>32</v>
      </c>
      <c r="I18" s="3"/>
      <c r="J18" s="3"/>
      <c r="K18" s="3"/>
      <c r="L18" s="3"/>
      <c r="M18" s="3"/>
      <c r="N18" s="3"/>
    </row>
    <row r="19" ht="30" customHeight="1" spans="1:14">
      <c r="A19" s="20" t="s">
        <v>58</v>
      </c>
      <c r="B19" s="5" t="s">
        <v>59</v>
      </c>
      <c r="C19" s="5" t="s">
        <v>60</v>
      </c>
      <c r="D19" s="5" t="s">
        <v>61</v>
      </c>
      <c r="E19" s="5" t="s">
        <v>62</v>
      </c>
      <c r="F19" s="5" t="s">
        <v>63</v>
      </c>
      <c r="G19" s="5" t="s">
        <v>64</v>
      </c>
      <c r="H19" s="5" t="s">
        <v>32</v>
      </c>
      <c r="I19" s="3"/>
      <c r="J19" s="3"/>
      <c r="K19" s="3"/>
      <c r="L19" s="3"/>
      <c r="M19" s="3"/>
      <c r="N19" s="3"/>
    </row>
    <row r="20" ht="30" customHeight="1" spans="1:14">
      <c r="A20" s="20" t="s">
        <v>58</v>
      </c>
      <c r="B20" s="5" t="s">
        <v>65</v>
      </c>
      <c r="C20" s="5" t="s">
        <v>66</v>
      </c>
      <c r="D20" s="5" t="s">
        <v>67</v>
      </c>
      <c r="E20" s="5" t="s">
        <v>68</v>
      </c>
      <c r="F20" s="5" t="s">
        <v>69</v>
      </c>
      <c r="G20" s="5" t="s">
        <v>70</v>
      </c>
      <c r="H20" s="5" t="s">
        <v>32</v>
      </c>
      <c r="I20" s="3"/>
      <c r="J20" s="3"/>
      <c r="K20" s="3"/>
      <c r="L20" s="3"/>
      <c r="M20" s="3"/>
      <c r="N20" s="3"/>
    </row>
    <row r="21" ht="30" customHeight="1" spans="1:14">
      <c r="A21" s="20" t="s">
        <v>71</v>
      </c>
      <c r="B21" s="5" t="s">
        <v>72</v>
      </c>
      <c r="C21" s="5" t="s">
        <v>73</v>
      </c>
      <c r="D21" s="5" t="s">
        <v>74</v>
      </c>
      <c r="E21" s="5" t="s">
        <v>75</v>
      </c>
      <c r="F21" s="5" t="s">
        <v>76</v>
      </c>
      <c r="G21" s="5" t="s">
        <v>77</v>
      </c>
      <c r="H21" s="5" t="s">
        <v>32</v>
      </c>
      <c r="I21" s="3"/>
      <c r="J21" s="3"/>
      <c r="K21" s="3"/>
      <c r="L21" s="3"/>
      <c r="M21" s="3"/>
      <c r="N21" s="3"/>
    </row>
  </sheetData>
  <mergeCells count="22">
    <mergeCell ref="A1:N1"/>
    <mergeCell ref="A2:N2"/>
    <mergeCell ref="A4:N4"/>
    <mergeCell ref="A6:B6"/>
    <mergeCell ref="C6:D6"/>
    <mergeCell ref="E6:F6"/>
    <mergeCell ref="G6:H6"/>
    <mergeCell ref="I6:J6"/>
    <mergeCell ref="K6:N6"/>
    <mergeCell ref="A7:B7"/>
    <mergeCell ref="C7:D7"/>
    <mergeCell ref="E7:F7"/>
    <mergeCell ref="G7:H7"/>
    <mergeCell ref="I7:J7"/>
    <mergeCell ref="K7:N7"/>
    <mergeCell ref="A8:B8"/>
    <mergeCell ref="C8:D8"/>
    <mergeCell ref="E8:F8"/>
    <mergeCell ref="G8:H8"/>
    <mergeCell ref="I8:J8"/>
    <mergeCell ref="K8:N8"/>
    <mergeCell ref="A10:N1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selection activeCell="A1" sqref="A1:K1"/>
    </sheetView>
  </sheetViews>
  <sheetFormatPr defaultColWidth="9" defaultRowHeight="14.1"/>
  <cols>
    <col min="1" max="1" width="18" customWidth="1"/>
    <col min="2" max="4" width="24" customWidth="1"/>
    <col min="5" max="5" width="22" customWidth="1"/>
    <col min="6" max="6" width="34" customWidth="1"/>
    <col min="7" max="7" width="40" customWidth="1"/>
    <col min="8" max="8" width="34" customWidth="1"/>
    <col min="9" max="9" width="40" customWidth="1"/>
    <col min="10" max="10" width="12" customWidth="1"/>
    <col min="11" max="11" width="42" customWidth="1"/>
  </cols>
  <sheetData>
    <row r="1" ht="36" customHeight="1" spans="1:1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32" customHeight="1" spans="1:11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</row>
    <row r="5" ht="72" customHeight="1" spans="1:11">
      <c r="A5" s="5" t="s">
        <v>91</v>
      </c>
      <c r="B5" s="5" t="s">
        <v>92</v>
      </c>
      <c r="C5" s="5" t="s">
        <v>93</v>
      </c>
      <c r="D5" s="5" t="s">
        <v>94</v>
      </c>
      <c r="E5" s="5" t="s">
        <v>95</v>
      </c>
      <c r="F5" s="5" t="s">
        <v>96</v>
      </c>
      <c r="G5" s="5" t="s">
        <v>97</v>
      </c>
      <c r="H5" s="5" t="s">
        <v>98</v>
      </c>
      <c r="I5" s="5" t="s">
        <v>99</v>
      </c>
      <c r="J5" s="5" t="s">
        <v>100</v>
      </c>
      <c r="K5" s="5" t="s">
        <v>101</v>
      </c>
    </row>
    <row r="6" ht="72" customHeight="1" spans="1:11">
      <c r="A6" s="5" t="s">
        <v>102</v>
      </c>
      <c r="B6" s="5" t="s">
        <v>103</v>
      </c>
      <c r="C6" s="5" t="s">
        <v>104</v>
      </c>
      <c r="D6" s="5" t="s">
        <v>105</v>
      </c>
      <c r="E6" s="5" t="s">
        <v>106</v>
      </c>
      <c r="F6" s="5" t="s">
        <v>107</v>
      </c>
      <c r="G6" s="5" t="s">
        <v>108</v>
      </c>
      <c r="H6" s="5" t="s">
        <v>109</v>
      </c>
      <c r="I6" s="5" t="s">
        <v>110</v>
      </c>
      <c r="J6" s="5" t="s">
        <v>100</v>
      </c>
      <c r="K6" s="5" t="s">
        <v>111</v>
      </c>
    </row>
    <row r="7" ht="72" customHeight="1" spans="1:11">
      <c r="A7" s="5" t="s">
        <v>112</v>
      </c>
      <c r="B7" s="5" t="s">
        <v>113</v>
      </c>
      <c r="C7" s="5" t="s">
        <v>114</v>
      </c>
      <c r="D7" s="5" t="s">
        <v>115</v>
      </c>
      <c r="E7" s="5" t="s">
        <v>116</v>
      </c>
      <c r="F7" s="5" t="s">
        <v>117</v>
      </c>
      <c r="G7" s="5" t="s">
        <v>118</v>
      </c>
      <c r="H7" s="5" t="s">
        <v>119</v>
      </c>
      <c r="I7" s="5" t="s">
        <v>120</v>
      </c>
      <c r="J7" s="5" t="s">
        <v>121</v>
      </c>
      <c r="K7" s="5" t="s">
        <v>122</v>
      </c>
    </row>
    <row r="8" ht="72" customHeight="1" spans="1:11">
      <c r="A8" s="5" t="s">
        <v>123</v>
      </c>
      <c r="B8" s="5" t="s">
        <v>124</v>
      </c>
      <c r="C8" s="5" t="s">
        <v>125</v>
      </c>
      <c r="D8" s="5" t="s">
        <v>126</v>
      </c>
      <c r="E8" s="5" t="s">
        <v>127</v>
      </c>
      <c r="F8" s="5" t="s">
        <v>128</v>
      </c>
      <c r="G8" s="5" t="s">
        <v>129</v>
      </c>
      <c r="H8" s="5" t="s">
        <v>130</v>
      </c>
      <c r="I8" s="5" t="s">
        <v>131</v>
      </c>
      <c r="J8" s="5" t="s">
        <v>121</v>
      </c>
      <c r="K8" s="5" t="s">
        <v>132</v>
      </c>
    </row>
    <row r="9" ht="72" customHeight="1" spans="1:11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138</v>
      </c>
      <c r="G9" s="5" t="s">
        <v>139</v>
      </c>
      <c r="H9" s="5" t="s">
        <v>140</v>
      </c>
      <c r="I9" s="5" t="s">
        <v>141</v>
      </c>
      <c r="J9" s="5" t="s">
        <v>100</v>
      </c>
      <c r="K9" s="5" t="s">
        <v>142</v>
      </c>
    </row>
    <row r="10" ht="72" customHeight="1" spans="1:11">
      <c r="A10" s="5" t="s">
        <v>143</v>
      </c>
      <c r="B10" s="5" t="s">
        <v>144</v>
      </c>
      <c r="C10" s="5" t="s">
        <v>145</v>
      </c>
      <c r="D10" s="5" t="s">
        <v>146</v>
      </c>
      <c r="E10" s="5" t="s">
        <v>147</v>
      </c>
      <c r="F10" s="5" t="s">
        <v>148</v>
      </c>
      <c r="G10" s="5" t="s">
        <v>149</v>
      </c>
      <c r="H10" s="5" t="s">
        <v>150</v>
      </c>
      <c r="I10" s="5" t="s">
        <v>151</v>
      </c>
      <c r="J10" s="5" t="s">
        <v>121</v>
      </c>
      <c r="K10" s="5" t="s">
        <v>152</v>
      </c>
    </row>
    <row r="11" ht="72" customHeight="1" spans="1:11">
      <c r="A11" s="5" t="s">
        <v>153</v>
      </c>
      <c r="B11" s="5" t="s">
        <v>154</v>
      </c>
      <c r="C11" s="5" t="s">
        <v>155</v>
      </c>
      <c r="D11" s="5" t="s">
        <v>156</v>
      </c>
      <c r="E11" s="5" t="s">
        <v>157</v>
      </c>
      <c r="F11" s="5" t="s">
        <v>158</v>
      </c>
      <c r="G11" s="5" t="s">
        <v>159</v>
      </c>
      <c r="H11" s="5" t="s">
        <v>160</v>
      </c>
      <c r="I11" s="5" t="s">
        <v>161</v>
      </c>
      <c r="J11" s="5" t="s">
        <v>100</v>
      </c>
      <c r="K11" s="5" t="s">
        <v>162</v>
      </c>
    </row>
    <row r="12" ht="72" customHeight="1" spans="1:11">
      <c r="A12" s="5" t="s">
        <v>163</v>
      </c>
      <c r="B12" s="5" t="s">
        <v>164</v>
      </c>
      <c r="C12" s="5" t="s">
        <v>165</v>
      </c>
      <c r="D12" s="5" t="s">
        <v>166</v>
      </c>
      <c r="E12" s="5" t="s">
        <v>167</v>
      </c>
      <c r="F12" s="5" t="s">
        <v>168</v>
      </c>
      <c r="G12" s="5" t="s">
        <v>169</v>
      </c>
      <c r="H12" s="5" t="s">
        <v>170</v>
      </c>
      <c r="I12" s="5" t="s">
        <v>171</v>
      </c>
      <c r="J12" s="5" t="s">
        <v>121</v>
      </c>
      <c r="K12" s="5" t="s">
        <v>172</v>
      </c>
    </row>
    <row r="13" ht="72" customHeight="1" spans="1:11">
      <c r="A13" s="5" t="s">
        <v>173</v>
      </c>
      <c r="B13" s="5" t="s">
        <v>174</v>
      </c>
      <c r="C13" s="5" t="s">
        <v>175</v>
      </c>
      <c r="D13" s="5" t="s">
        <v>176</v>
      </c>
      <c r="E13" s="5" t="s">
        <v>177</v>
      </c>
      <c r="F13" s="5" t="s">
        <v>178</v>
      </c>
      <c r="G13" s="5" t="s">
        <v>179</v>
      </c>
      <c r="H13" s="5" t="s">
        <v>180</v>
      </c>
      <c r="I13" s="5" t="s">
        <v>181</v>
      </c>
      <c r="J13" s="5" t="s">
        <v>100</v>
      </c>
      <c r="K13" s="5" t="s">
        <v>182</v>
      </c>
    </row>
  </sheetData>
  <mergeCells count="2">
    <mergeCell ref="A1:K1"/>
    <mergeCell ref="A2:K2"/>
  </mergeCells>
  <conditionalFormatting sqref="J5:J13">
    <cfRule type="containsText" dxfId="0" priority="1" operator="between" text="极高">
      <formula>NOT(ISERROR(SEARCH("极高",J5)))</formula>
    </cfRule>
    <cfRule type="containsText" dxfId="1" priority="2" operator="between" text="高">
      <formula>NOT(ISERROR(SEARCH("高",J5)))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showGridLines="0" workbookViewId="0">
      <selection activeCell="A1" sqref="A1:Q1"/>
    </sheetView>
  </sheetViews>
  <sheetFormatPr defaultColWidth="9" defaultRowHeight="14.1"/>
  <cols>
    <col min="1" max="2" width="10" customWidth="1"/>
    <col min="3" max="4" width="16" customWidth="1"/>
    <col min="5" max="5" width="36" customWidth="1"/>
    <col min="6" max="6" width="11" customWidth="1"/>
    <col min="7" max="7" width="10" customWidth="1"/>
    <col min="8" max="8" width="16" customWidth="1"/>
    <col min="9" max="9" width="48" customWidth="1"/>
    <col min="10" max="10" width="34" customWidth="1"/>
    <col min="11" max="11" width="40" customWidth="1"/>
    <col min="12" max="12" width="52" customWidth="1"/>
    <col min="13" max="13" width="42" customWidth="1"/>
    <col min="14" max="14" width="10" customWidth="1"/>
    <col min="15" max="17" width="14" customWidth="1"/>
  </cols>
  <sheetData>
    <row r="1" ht="36" customHeight="1" spans="1:17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2" customHeight="1" spans="1:17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2" customHeight="1" spans="1:17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4" t="s">
        <v>193</v>
      </c>
      <c r="J4" s="4" t="s">
        <v>194</v>
      </c>
      <c r="K4" s="4" t="s">
        <v>195</v>
      </c>
      <c r="L4" s="4" t="s">
        <v>196</v>
      </c>
      <c r="M4" s="4" t="s">
        <v>197</v>
      </c>
      <c r="N4" s="4" t="s">
        <v>198</v>
      </c>
      <c r="O4" s="4" t="s">
        <v>199</v>
      </c>
      <c r="P4" s="4" t="s">
        <v>200</v>
      </c>
      <c r="Q4" s="4" t="s">
        <v>201</v>
      </c>
    </row>
    <row r="5" ht="78" customHeight="1" spans="1:17">
      <c r="A5" s="5" t="s">
        <v>202</v>
      </c>
      <c r="B5" s="5" t="s">
        <v>10</v>
      </c>
      <c r="C5" s="5" t="s">
        <v>203</v>
      </c>
      <c r="D5" s="5" t="s">
        <v>204</v>
      </c>
      <c r="E5" s="5" t="s">
        <v>205</v>
      </c>
      <c r="F5" s="5" t="s">
        <v>121</v>
      </c>
      <c r="G5" s="5" t="s">
        <v>100</v>
      </c>
      <c r="H5" s="5" t="s">
        <v>206</v>
      </c>
      <c r="I5" s="5" t="s">
        <v>207</v>
      </c>
      <c r="J5" s="5" t="s">
        <v>208</v>
      </c>
      <c r="K5" s="5" t="s">
        <v>209</v>
      </c>
      <c r="L5" s="5" t="s">
        <v>210</v>
      </c>
      <c r="M5" s="5" t="s">
        <v>211</v>
      </c>
      <c r="N5" s="5" t="s">
        <v>100</v>
      </c>
      <c r="O5" s="5" t="s">
        <v>212</v>
      </c>
      <c r="P5" s="5" t="s">
        <v>213</v>
      </c>
      <c r="Q5" s="5" t="s">
        <v>213</v>
      </c>
    </row>
    <row r="6" ht="78" customHeight="1" spans="1:17">
      <c r="A6" s="5" t="s">
        <v>214</v>
      </c>
      <c r="B6" s="5" t="s">
        <v>10</v>
      </c>
      <c r="C6" s="5" t="s">
        <v>203</v>
      </c>
      <c r="D6" s="5" t="s">
        <v>204</v>
      </c>
      <c r="E6" s="5" t="s">
        <v>215</v>
      </c>
      <c r="F6" s="5" t="s">
        <v>121</v>
      </c>
      <c r="G6" s="5" t="s">
        <v>100</v>
      </c>
      <c r="H6" s="5" t="s">
        <v>216</v>
      </c>
      <c r="I6" s="5" t="s">
        <v>217</v>
      </c>
      <c r="J6" s="5" t="s">
        <v>218</v>
      </c>
      <c r="K6" s="5" t="s">
        <v>219</v>
      </c>
      <c r="L6" s="5" t="s">
        <v>220</v>
      </c>
      <c r="M6" s="5" t="s">
        <v>221</v>
      </c>
      <c r="N6" s="5" t="s">
        <v>100</v>
      </c>
      <c r="O6" s="5" t="s">
        <v>212</v>
      </c>
      <c r="P6" s="5" t="s">
        <v>213</v>
      </c>
      <c r="Q6" s="5" t="s">
        <v>213</v>
      </c>
    </row>
    <row r="7" ht="78" customHeight="1" spans="1:17">
      <c r="A7" s="5" t="s">
        <v>222</v>
      </c>
      <c r="B7" s="5" t="s">
        <v>10</v>
      </c>
      <c r="C7" s="5" t="s">
        <v>223</v>
      </c>
      <c r="D7" s="5" t="s">
        <v>204</v>
      </c>
      <c r="E7" s="5" t="s">
        <v>224</v>
      </c>
      <c r="F7" s="5" t="s">
        <v>121</v>
      </c>
      <c r="G7" s="5" t="s">
        <v>100</v>
      </c>
      <c r="H7" s="5" t="s">
        <v>216</v>
      </c>
      <c r="I7" s="5" t="s">
        <v>225</v>
      </c>
      <c r="J7" s="5" t="s">
        <v>226</v>
      </c>
      <c r="K7" s="5" t="s">
        <v>227</v>
      </c>
      <c r="L7" s="5" t="s">
        <v>228</v>
      </c>
      <c r="M7" s="5" t="s">
        <v>229</v>
      </c>
      <c r="N7" s="5" t="s">
        <v>100</v>
      </c>
      <c r="O7" s="5" t="s">
        <v>212</v>
      </c>
      <c r="P7" s="5" t="s">
        <v>213</v>
      </c>
      <c r="Q7" s="5" t="s">
        <v>213</v>
      </c>
    </row>
    <row r="8" ht="78" customHeight="1" spans="1:17">
      <c r="A8" s="5" t="s">
        <v>230</v>
      </c>
      <c r="B8" s="5" t="s">
        <v>10</v>
      </c>
      <c r="C8" s="5" t="s">
        <v>231</v>
      </c>
      <c r="D8" s="5" t="s">
        <v>204</v>
      </c>
      <c r="E8" s="5" t="s">
        <v>232</v>
      </c>
      <c r="F8" s="5" t="s">
        <v>121</v>
      </c>
      <c r="G8" s="5" t="s">
        <v>233</v>
      </c>
      <c r="H8" s="5" t="s">
        <v>234</v>
      </c>
      <c r="I8" s="5" t="s">
        <v>235</v>
      </c>
      <c r="J8" s="5" t="s">
        <v>236</v>
      </c>
      <c r="K8" s="5" t="s">
        <v>237</v>
      </c>
      <c r="L8" s="5" t="s">
        <v>238</v>
      </c>
      <c r="M8" s="5" t="s">
        <v>239</v>
      </c>
      <c r="N8" s="5" t="s">
        <v>100</v>
      </c>
      <c r="O8" s="5" t="s">
        <v>212</v>
      </c>
      <c r="P8" s="5" t="s">
        <v>213</v>
      </c>
      <c r="Q8" s="5" t="s">
        <v>213</v>
      </c>
    </row>
    <row r="9" ht="78" customHeight="1" spans="1:17">
      <c r="A9" s="5" t="s">
        <v>240</v>
      </c>
      <c r="B9" s="5" t="s">
        <v>10</v>
      </c>
      <c r="C9" s="5" t="s">
        <v>241</v>
      </c>
      <c r="D9" s="5" t="s">
        <v>204</v>
      </c>
      <c r="E9" s="5" t="s">
        <v>242</v>
      </c>
      <c r="F9" s="5" t="s">
        <v>121</v>
      </c>
      <c r="G9" s="5" t="s">
        <v>233</v>
      </c>
      <c r="H9" s="5" t="s">
        <v>216</v>
      </c>
      <c r="I9" s="5" t="s">
        <v>243</v>
      </c>
      <c r="J9" s="5" t="s">
        <v>244</v>
      </c>
      <c r="K9" s="5" t="s">
        <v>245</v>
      </c>
      <c r="L9" s="5" t="s">
        <v>246</v>
      </c>
      <c r="M9" s="5" t="s">
        <v>247</v>
      </c>
      <c r="N9" s="5" t="s">
        <v>100</v>
      </c>
      <c r="O9" s="5" t="s">
        <v>212</v>
      </c>
      <c r="P9" s="5" t="s">
        <v>213</v>
      </c>
      <c r="Q9" s="5" t="s">
        <v>213</v>
      </c>
    </row>
    <row r="10" ht="78" customHeight="1" spans="1:17">
      <c r="A10" s="5" t="s">
        <v>248</v>
      </c>
      <c r="B10" s="5" t="s">
        <v>10</v>
      </c>
      <c r="C10" s="5" t="s">
        <v>249</v>
      </c>
      <c r="D10" s="5" t="s">
        <v>204</v>
      </c>
      <c r="E10" s="5" t="s">
        <v>250</v>
      </c>
      <c r="F10" s="5" t="s">
        <v>121</v>
      </c>
      <c r="G10" s="5" t="s">
        <v>233</v>
      </c>
      <c r="H10" s="5" t="s">
        <v>216</v>
      </c>
      <c r="I10" s="5" t="s">
        <v>251</v>
      </c>
      <c r="J10" s="5" t="s">
        <v>252</v>
      </c>
      <c r="K10" s="5" t="s">
        <v>253</v>
      </c>
      <c r="L10" s="5" t="s">
        <v>254</v>
      </c>
      <c r="M10" s="5" t="s">
        <v>255</v>
      </c>
      <c r="N10" s="5" t="s">
        <v>100</v>
      </c>
      <c r="O10" s="5" t="s">
        <v>212</v>
      </c>
      <c r="P10" s="5" t="s">
        <v>213</v>
      </c>
      <c r="Q10" s="5" t="s">
        <v>213</v>
      </c>
    </row>
    <row r="11" ht="78" customHeight="1" spans="1:17">
      <c r="A11" s="5" t="s">
        <v>53</v>
      </c>
      <c r="B11" s="5" t="s">
        <v>10</v>
      </c>
      <c r="C11" s="5" t="s">
        <v>256</v>
      </c>
      <c r="D11" s="5" t="s">
        <v>204</v>
      </c>
      <c r="E11" s="5" t="s">
        <v>257</v>
      </c>
      <c r="F11" s="5" t="s">
        <v>121</v>
      </c>
      <c r="G11" s="5" t="s">
        <v>233</v>
      </c>
      <c r="H11" s="5" t="s">
        <v>216</v>
      </c>
      <c r="I11" s="5" t="s">
        <v>258</v>
      </c>
      <c r="J11" s="5" t="s">
        <v>259</v>
      </c>
      <c r="K11" s="5" t="s">
        <v>260</v>
      </c>
      <c r="L11" s="5" t="s">
        <v>261</v>
      </c>
      <c r="M11" s="5" t="s">
        <v>262</v>
      </c>
      <c r="N11" s="5" t="s">
        <v>100</v>
      </c>
      <c r="O11" s="5" t="s">
        <v>212</v>
      </c>
      <c r="P11" s="5" t="s">
        <v>213</v>
      </c>
      <c r="Q11" s="5" t="s">
        <v>213</v>
      </c>
    </row>
    <row r="12" ht="78" customHeight="1" spans="1:17">
      <c r="A12" s="5" t="s">
        <v>263</v>
      </c>
      <c r="B12" s="5" t="s">
        <v>11</v>
      </c>
      <c r="C12" s="5" t="s">
        <v>223</v>
      </c>
      <c r="D12" s="5" t="s">
        <v>264</v>
      </c>
      <c r="E12" s="5" t="s">
        <v>265</v>
      </c>
      <c r="F12" s="5" t="s">
        <v>100</v>
      </c>
      <c r="G12" s="5" t="s">
        <v>100</v>
      </c>
      <c r="H12" s="5" t="s">
        <v>216</v>
      </c>
      <c r="I12" s="5" t="s">
        <v>266</v>
      </c>
      <c r="J12" s="5" t="s">
        <v>267</v>
      </c>
      <c r="K12" s="5" t="s">
        <v>268</v>
      </c>
      <c r="L12" s="5" t="s">
        <v>269</v>
      </c>
      <c r="M12" s="5" t="s">
        <v>270</v>
      </c>
      <c r="N12" s="5" t="s">
        <v>100</v>
      </c>
      <c r="O12" s="5" t="s">
        <v>212</v>
      </c>
      <c r="P12" s="5" t="s">
        <v>213</v>
      </c>
      <c r="Q12" s="5" t="s">
        <v>213</v>
      </c>
    </row>
    <row r="13" ht="78" customHeight="1" spans="1:17">
      <c r="A13" s="5" t="s">
        <v>271</v>
      </c>
      <c r="B13" s="5" t="s">
        <v>11</v>
      </c>
      <c r="C13" s="5" t="s">
        <v>272</v>
      </c>
      <c r="D13" s="5" t="s">
        <v>273</v>
      </c>
      <c r="E13" s="5" t="s">
        <v>274</v>
      </c>
      <c r="F13" s="5" t="s">
        <v>100</v>
      </c>
      <c r="G13" s="5" t="s">
        <v>233</v>
      </c>
      <c r="H13" s="5" t="s">
        <v>216</v>
      </c>
      <c r="I13" s="5" t="s">
        <v>275</v>
      </c>
      <c r="J13" s="5" t="s">
        <v>276</v>
      </c>
      <c r="K13" s="5" t="s">
        <v>277</v>
      </c>
      <c r="L13" s="5" t="s">
        <v>278</v>
      </c>
      <c r="M13" s="5" t="s">
        <v>279</v>
      </c>
      <c r="N13" s="5" t="s">
        <v>100</v>
      </c>
      <c r="O13" s="5" t="s">
        <v>212</v>
      </c>
      <c r="P13" s="5" t="s">
        <v>213</v>
      </c>
      <c r="Q13" s="5" t="s">
        <v>213</v>
      </c>
    </row>
    <row r="14" ht="78" customHeight="1" spans="1:17">
      <c r="A14" s="5" t="s">
        <v>280</v>
      </c>
      <c r="B14" s="5" t="s">
        <v>11</v>
      </c>
      <c r="C14" s="5" t="s">
        <v>281</v>
      </c>
      <c r="D14" s="5" t="s">
        <v>273</v>
      </c>
      <c r="E14" s="5" t="s">
        <v>282</v>
      </c>
      <c r="F14" s="5" t="s">
        <v>100</v>
      </c>
      <c r="G14" s="5" t="s">
        <v>233</v>
      </c>
      <c r="H14" s="5" t="s">
        <v>216</v>
      </c>
      <c r="I14" s="5" t="s">
        <v>283</v>
      </c>
      <c r="J14" s="5" t="s">
        <v>284</v>
      </c>
      <c r="K14" s="5" t="s">
        <v>285</v>
      </c>
      <c r="L14" s="5" t="s">
        <v>286</v>
      </c>
      <c r="M14" s="5" t="s">
        <v>287</v>
      </c>
      <c r="N14" s="5" t="s">
        <v>100</v>
      </c>
      <c r="O14" s="5" t="s">
        <v>212</v>
      </c>
      <c r="P14" s="5" t="s">
        <v>213</v>
      </c>
      <c r="Q14" s="5" t="s">
        <v>213</v>
      </c>
    </row>
    <row r="15" ht="78" customHeight="1" spans="1:17">
      <c r="A15" s="5" t="s">
        <v>288</v>
      </c>
      <c r="B15" s="5" t="s">
        <v>11</v>
      </c>
      <c r="C15" s="5" t="s">
        <v>289</v>
      </c>
      <c r="D15" s="5" t="s">
        <v>264</v>
      </c>
      <c r="E15" s="5" t="s">
        <v>290</v>
      </c>
      <c r="F15" s="5" t="s">
        <v>100</v>
      </c>
      <c r="G15" s="5" t="s">
        <v>233</v>
      </c>
      <c r="H15" s="5" t="s">
        <v>216</v>
      </c>
      <c r="I15" s="5" t="s">
        <v>291</v>
      </c>
      <c r="J15" s="5" t="s">
        <v>292</v>
      </c>
      <c r="K15" s="5" t="s">
        <v>293</v>
      </c>
      <c r="L15" s="5" t="s">
        <v>294</v>
      </c>
      <c r="M15" s="5" t="s">
        <v>295</v>
      </c>
      <c r="N15" s="5" t="s">
        <v>100</v>
      </c>
      <c r="O15" s="5" t="s">
        <v>212</v>
      </c>
      <c r="P15" s="5" t="s">
        <v>213</v>
      </c>
      <c r="Q15" s="5" t="s">
        <v>213</v>
      </c>
    </row>
    <row r="16" ht="78" customHeight="1" spans="1:17">
      <c r="A16" s="5" t="s">
        <v>296</v>
      </c>
      <c r="B16" s="5" t="s">
        <v>11</v>
      </c>
      <c r="C16" s="5" t="s">
        <v>297</v>
      </c>
      <c r="D16" s="5" t="s">
        <v>298</v>
      </c>
      <c r="E16" s="5" t="s">
        <v>299</v>
      </c>
      <c r="F16" s="5" t="s">
        <v>100</v>
      </c>
      <c r="G16" s="5" t="s">
        <v>233</v>
      </c>
      <c r="H16" s="5" t="s">
        <v>300</v>
      </c>
      <c r="I16" s="5" t="s">
        <v>301</v>
      </c>
      <c r="J16" s="5" t="s">
        <v>302</v>
      </c>
      <c r="K16" s="5" t="s">
        <v>303</v>
      </c>
      <c r="L16" s="5" t="s">
        <v>304</v>
      </c>
      <c r="M16" s="5" t="s">
        <v>305</v>
      </c>
      <c r="N16" s="5" t="s">
        <v>233</v>
      </c>
      <c r="O16" s="5" t="s">
        <v>306</v>
      </c>
      <c r="P16" s="5" t="s">
        <v>213</v>
      </c>
      <c r="Q16" s="5" t="s">
        <v>213</v>
      </c>
    </row>
    <row r="17" ht="78" customHeight="1" spans="1:17">
      <c r="A17" s="5" t="s">
        <v>307</v>
      </c>
      <c r="B17" s="5" t="s">
        <v>11</v>
      </c>
      <c r="C17" s="5" t="s">
        <v>308</v>
      </c>
      <c r="D17" s="5" t="s">
        <v>309</v>
      </c>
      <c r="E17" s="5" t="s">
        <v>310</v>
      </c>
      <c r="F17" s="5" t="s">
        <v>100</v>
      </c>
      <c r="G17" s="5" t="s">
        <v>233</v>
      </c>
      <c r="H17" s="5" t="s">
        <v>311</v>
      </c>
      <c r="I17" s="5" t="s">
        <v>312</v>
      </c>
      <c r="J17" s="5" t="s">
        <v>313</v>
      </c>
      <c r="K17" s="5" t="s">
        <v>314</v>
      </c>
      <c r="L17" s="5" t="s">
        <v>315</v>
      </c>
      <c r="M17" s="5" t="s">
        <v>316</v>
      </c>
      <c r="N17" s="5" t="s">
        <v>100</v>
      </c>
      <c r="O17" s="5" t="s">
        <v>212</v>
      </c>
      <c r="P17" s="5" t="s">
        <v>213</v>
      </c>
      <c r="Q17" s="5" t="s">
        <v>213</v>
      </c>
    </row>
    <row r="18" ht="78" customHeight="1" spans="1:17">
      <c r="A18" s="5" t="s">
        <v>317</v>
      </c>
      <c r="B18" s="5" t="s">
        <v>11</v>
      </c>
      <c r="C18" s="5" t="s">
        <v>318</v>
      </c>
      <c r="D18" s="5" t="s">
        <v>264</v>
      </c>
      <c r="E18" s="5" t="s">
        <v>319</v>
      </c>
      <c r="F18" s="5" t="s">
        <v>100</v>
      </c>
      <c r="G18" s="5" t="s">
        <v>233</v>
      </c>
      <c r="H18" s="5" t="s">
        <v>216</v>
      </c>
      <c r="I18" s="5" t="s">
        <v>320</v>
      </c>
      <c r="J18" s="5" t="s">
        <v>321</v>
      </c>
      <c r="K18" s="5" t="s">
        <v>322</v>
      </c>
      <c r="L18" s="5" t="s">
        <v>323</v>
      </c>
      <c r="M18" s="5" t="s">
        <v>324</v>
      </c>
      <c r="N18" s="5" t="s">
        <v>100</v>
      </c>
      <c r="O18" s="5" t="s">
        <v>212</v>
      </c>
      <c r="P18" s="5" t="s">
        <v>213</v>
      </c>
      <c r="Q18" s="5" t="s">
        <v>213</v>
      </c>
    </row>
    <row r="19" ht="78" customHeight="1" spans="1:17">
      <c r="A19" s="5" t="s">
        <v>325</v>
      </c>
      <c r="B19" s="5" t="s">
        <v>12</v>
      </c>
      <c r="C19" s="5" t="s">
        <v>326</v>
      </c>
      <c r="D19" s="5" t="s">
        <v>264</v>
      </c>
      <c r="E19" s="5" t="s">
        <v>327</v>
      </c>
      <c r="F19" s="5" t="s">
        <v>233</v>
      </c>
      <c r="G19" s="5" t="s">
        <v>233</v>
      </c>
      <c r="H19" s="5" t="s">
        <v>216</v>
      </c>
      <c r="I19" s="5" t="s">
        <v>328</v>
      </c>
      <c r="J19" s="5" t="s">
        <v>329</v>
      </c>
      <c r="K19" s="5" t="s">
        <v>330</v>
      </c>
      <c r="L19" s="5" t="s">
        <v>331</v>
      </c>
      <c r="M19" s="5" t="s">
        <v>332</v>
      </c>
      <c r="N19" s="5" t="s">
        <v>100</v>
      </c>
      <c r="O19" s="5" t="s">
        <v>212</v>
      </c>
      <c r="P19" s="5" t="s">
        <v>213</v>
      </c>
      <c r="Q19" s="5" t="s">
        <v>213</v>
      </c>
    </row>
    <row r="20" ht="78" customHeight="1" spans="1:17">
      <c r="A20" s="5" t="s">
        <v>333</v>
      </c>
      <c r="B20" s="5" t="s">
        <v>12</v>
      </c>
      <c r="C20" s="5" t="s">
        <v>334</v>
      </c>
      <c r="D20" s="5" t="s">
        <v>264</v>
      </c>
      <c r="E20" s="5" t="s">
        <v>335</v>
      </c>
      <c r="F20" s="5" t="s">
        <v>233</v>
      </c>
      <c r="G20" s="5" t="s">
        <v>233</v>
      </c>
      <c r="H20" s="5" t="s">
        <v>216</v>
      </c>
      <c r="I20" s="5" t="s">
        <v>336</v>
      </c>
      <c r="J20" s="5" t="s">
        <v>337</v>
      </c>
      <c r="K20" s="5" t="s">
        <v>338</v>
      </c>
      <c r="L20" s="5" t="s">
        <v>339</v>
      </c>
      <c r="M20" s="5" t="s">
        <v>340</v>
      </c>
      <c r="N20" s="5" t="s">
        <v>100</v>
      </c>
      <c r="O20" s="5" t="s">
        <v>212</v>
      </c>
      <c r="P20" s="5" t="s">
        <v>213</v>
      </c>
      <c r="Q20" s="5" t="s">
        <v>213</v>
      </c>
    </row>
    <row r="21" ht="78" customHeight="1" spans="1:17">
      <c r="A21" s="5" t="s">
        <v>341</v>
      </c>
      <c r="B21" s="5" t="s">
        <v>12</v>
      </c>
      <c r="C21" s="5" t="s">
        <v>342</v>
      </c>
      <c r="D21" s="5" t="s">
        <v>343</v>
      </c>
      <c r="E21" s="5" t="s">
        <v>344</v>
      </c>
      <c r="F21" s="5" t="s">
        <v>233</v>
      </c>
      <c r="G21" s="5" t="s">
        <v>345</v>
      </c>
      <c r="H21" s="5" t="s">
        <v>346</v>
      </c>
      <c r="I21" s="5" t="s">
        <v>347</v>
      </c>
      <c r="J21" s="5" t="s">
        <v>348</v>
      </c>
      <c r="K21" s="5" t="s">
        <v>349</v>
      </c>
      <c r="L21" s="5" t="s">
        <v>350</v>
      </c>
      <c r="M21" s="5" t="s">
        <v>351</v>
      </c>
      <c r="N21" s="5" t="s">
        <v>233</v>
      </c>
      <c r="O21" s="5" t="s">
        <v>212</v>
      </c>
      <c r="P21" s="5" t="s">
        <v>213</v>
      </c>
      <c r="Q21" s="5" t="s">
        <v>213</v>
      </c>
    </row>
    <row r="22" ht="78" customHeight="1" spans="1:17">
      <c r="A22" s="5" t="s">
        <v>352</v>
      </c>
      <c r="B22" s="5" t="s">
        <v>12</v>
      </c>
      <c r="C22" s="5" t="s">
        <v>353</v>
      </c>
      <c r="D22" s="5" t="s">
        <v>354</v>
      </c>
      <c r="E22" s="5" t="s">
        <v>355</v>
      </c>
      <c r="F22" s="5" t="s">
        <v>233</v>
      </c>
      <c r="G22" s="5" t="s">
        <v>233</v>
      </c>
      <c r="H22" s="5" t="s">
        <v>216</v>
      </c>
      <c r="I22" s="5" t="s">
        <v>356</v>
      </c>
      <c r="J22" s="5" t="s">
        <v>357</v>
      </c>
      <c r="K22" s="5" t="s">
        <v>358</v>
      </c>
      <c r="L22" s="5" t="s">
        <v>359</v>
      </c>
      <c r="M22" s="5" t="s">
        <v>360</v>
      </c>
      <c r="N22" s="5" t="s">
        <v>100</v>
      </c>
      <c r="O22" s="5" t="s">
        <v>212</v>
      </c>
      <c r="P22" s="5" t="s">
        <v>213</v>
      </c>
      <c r="Q22" s="5" t="s">
        <v>213</v>
      </c>
    </row>
    <row r="23" ht="78" customHeight="1" spans="1:17">
      <c r="A23" s="5" t="s">
        <v>361</v>
      </c>
      <c r="B23" s="5" t="s">
        <v>12</v>
      </c>
      <c r="C23" s="5" t="s">
        <v>362</v>
      </c>
      <c r="D23" s="5" t="s">
        <v>363</v>
      </c>
      <c r="E23" s="5" t="s">
        <v>364</v>
      </c>
      <c r="F23" s="5" t="s">
        <v>233</v>
      </c>
      <c r="G23" s="5" t="s">
        <v>233</v>
      </c>
      <c r="H23" s="5" t="s">
        <v>216</v>
      </c>
      <c r="I23" s="5" t="s">
        <v>365</v>
      </c>
      <c r="J23" s="5" t="s">
        <v>366</v>
      </c>
      <c r="K23" s="5" t="s">
        <v>367</v>
      </c>
      <c r="L23" s="5" t="s">
        <v>368</v>
      </c>
      <c r="M23" s="5" t="s">
        <v>369</v>
      </c>
      <c r="N23" s="5" t="s">
        <v>100</v>
      </c>
      <c r="O23" s="5" t="s">
        <v>212</v>
      </c>
      <c r="P23" s="5" t="s">
        <v>213</v>
      </c>
      <c r="Q23" s="5" t="s">
        <v>213</v>
      </c>
    </row>
    <row r="24" ht="78" customHeight="1" spans="1:17">
      <c r="A24" s="5" t="s">
        <v>370</v>
      </c>
      <c r="B24" s="5" t="s">
        <v>11</v>
      </c>
      <c r="C24" s="5" t="s">
        <v>371</v>
      </c>
      <c r="D24" s="5" t="s">
        <v>372</v>
      </c>
      <c r="E24" s="5" t="s">
        <v>373</v>
      </c>
      <c r="F24" s="5" t="s">
        <v>100</v>
      </c>
      <c r="G24" s="5" t="s">
        <v>100</v>
      </c>
      <c r="H24" s="5" t="s">
        <v>216</v>
      </c>
      <c r="I24" s="5" t="s">
        <v>374</v>
      </c>
      <c r="J24" s="5" t="s">
        <v>375</v>
      </c>
      <c r="K24" s="5" t="s">
        <v>376</v>
      </c>
      <c r="L24" s="5" t="s">
        <v>377</v>
      </c>
      <c r="M24" s="5" t="s">
        <v>378</v>
      </c>
      <c r="N24" s="5" t="s">
        <v>100</v>
      </c>
      <c r="O24" s="5" t="s">
        <v>212</v>
      </c>
      <c r="P24" s="5" t="s">
        <v>213</v>
      </c>
      <c r="Q24" s="5" t="s">
        <v>213</v>
      </c>
    </row>
    <row r="25" ht="78" customHeight="1" spans="1:17">
      <c r="A25" s="5" t="s">
        <v>379</v>
      </c>
      <c r="B25" s="5" t="s">
        <v>11</v>
      </c>
      <c r="C25" s="5" t="s">
        <v>380</v>
      </c>
      <c r="D25" s="5" t="s">
        <v>381</v>
      </c>
      <c r="E25" s="5" t="s">
        <v>382</v>
      </c>
      <c r="F25" s="5" t="s">
        <v>100</v>
      </c>
      <c r="G25" s="5" t="s">
        <v>233</v>
      </c>
      <c r="H25" s="5" t="s">
        <v>216</v>
      </c>
      <c r="I25" s="5" t="s">
        <v>383</v>
      </c>
      <c r="J25" s="5" t="s">
        <v>384</v>
      </c>
      <c r="K25" s="5" t="s">
        <v>385</v>
      </c>
      <c r="L25" s="5" t="s">
        <v>386</v>
      </c>
      <c r="M25" s="5" t="s">
        <v>387</v>
      </c>
      <c r="N25" s="5" t="s">
        <v>100</v>
      </c>
      <c r="O25" s="5" t="s">
        <v>212</v>
      </c>
      <c r="P25" s="5" t="s">
        <v>213</v>
      </c>
      <c r="Q25" s="5" t="s">
        <v>213</v>
      </c>
    </row>
    <row r="26" ht="78" customHeight="1" spans="1:17">
      <c r="A26" s="5" t="s">
        <v>388</v>
      </c>
      <c r="B26" s="5" t="s">
        <v>11</v>
      </c>
      <c r="C26" s="5" t="s">
        <v>389</v>
      </c>
      <c r="D26" s="5" t="s">
        <v>390</v>
      </c>
      <c r="E26" s="5" t="s">
        <v>391</v>
      </c>
      <c r="F26" s="5" t="s">
        <v>100</v>
      </c>
      <c r="G26" s="5" t="s">
        <v>100</v>
      </c>
      <c r="H26" s="5" t="s">
        <v>216</v>
      </c>
      <c r="I26" s="5" t="s">
        <v>392</v>
      </c>
      <c r="J26" s="5" t="s">
        <v>393</v>
      </c>
      <c r="K26" s="5" t="s">
        <v>394</v>
      </c>
      <c r="L26" s="5" t="s">
        <v>395</v>
      </c>
      <c r="M26" s="5" t="s">
        <v>396</v>
      </c>
      <c r="N26" s="5" t="s">
        <v>100</v>
      </c>
      <c r="O26" s="5" t="s">
        <v>212</v>
      </c>
      <c r="P26" s="5" t="s">
        <v>213</v>
      </c>
      <c r="Q26" s="5" t="s">
        <v>213</v>
      </c>
    </row>
    <row r="27" ht="78" customHeight="1" spans="1:17">
      <c r="A27" s="5" t="s">
        <v>397</v>
      </c>
      <c r="B27" s="5" t="s">
        <v>11</v>
      </c>
      <c r="C27" s="5" t="s">
        <v>398</v>
      </c>
      <c r="D27" s="5" t="s">
        <v>390</v>
      </c>
      <c r="E27" s="5" t="s">
        <v>399</v>
      </c>
      <c r="F27" s="5" t="s">
        <v>100</v>
      </c>
      <c r="G27" s="5" t="s">
        <v>100</v>
      </c>
      <c r="H27" s="5" t="s">
        <v>216</v>
      </c>
      <c r="I27" s="5" t="s">
        <v>400</v>
      </c>
      <c r="J27" s="5" t="s">
        <v>401</v>
      </c>
      <c r="K27" s="5" t="s">
        <v>402</v>
      </c>
      <c r="L27" s="5" t="s">
        <v>403</v>
      </c>
      <c r="M27" s="5" t="s">
        <v>404</v>
      </c>
      <c r="N27" s="5" t="s">
        <v>100</v>
      </c>
      <c r="O27" s="5" t="s">
        <v>212</v>
      </c>
      <c r="P27" s="5" t="s">
        <v>213</v>
      </c>
      <c r="Q27" s="5" t="s">
        <v>213</v>
      </c>
    </row>
    <row r="28" ht="78" customHeight="1" spans="1:17">
      <c r="A28" s="5" t="s">
        <v>405</v>
      </c>
      <c r="B28" s="5" t="s">
        <v>11</v>
      </c>
      <c r="C28" s="5" t="s">
        <v>406</v>
      </c>
      <c r="D28" s="5" t="s">
        <v>407</v>
      </c>
      <c r="E28" s="5" t="s">
        <v>408</v>
      </c>
      <c r="F28" s="5" t="s">
        <v>100</v>
      </c>
      <c r="G28" s="5" t="s">
        <v>233</v>
      </c>
      <c r="H28" s="5" t="s">
        <v>216</v>
      </c>
      <c r="I28" s="5" t="s">
        <v>409</v>
      </c>
      <c r="J28" s="5" t="s">
        <v>410</v>
      </c>
      <c r="K28" s="5" t="s">
        <v>411</v>
      </c>
      <c r="L28" s="5" t="s">
        <v>412</v>
      </c>
      <c r="M28" s="5" t="s">
        <v>413</v>
      </c>
      <c r="N28" s="5" t="s">
        <v>100</v>
      </c>
      <c r="O28" s="5" t="s">
        <v>212</v>
      </c>
      <c r="P28" s="5" t="s">
        <v>213</v>
      </c>
      <c r="Q28" s="5" t="s">
        <v>213</v>
      </c>
    </row>
    <row r="29" ht="78" customHeight="1" spans="1:17">
      <c r="A29" s="5" t="s">
        <v>414</v>
      </c>
      <c r="B29" s="5" t="s">
        <v>11</v>
      </c>
      <c r="C29" s="5" t="s">
        <v>415</v>
      </c>
      <c r="D29" s="5" t="s">
        <v>416</v>
      </c>
      <c r="E29" s="5" t="s">
        <v>417</v>
      </c>
      <c r="F29" s="5" t="s">
        <v>100</v>
      </c>
      <c r="G29" s="5" t="s">
        <v>100</v>
      </c>
      <c r="H29" s="5" t="s">
        <v>216</v>
      </c>
      <c r="I29" s="5" t="s">
        <v>418</v>
      </c>
      <c r="J29" s="5" t="s">
        <v>419</v>
      </c>
      <c r="K29" s="5" t="s">
        <v>420</v>
      </c>
      <c r="L29" s="5" t="s">
        <v>421</v>
      </c>
      <c r="M29" s="5" t="s">
        <v>422</v>
      </c>
      <c r="N29" s="5" t="s">
        <v>100</v>
      </c>
      <c r="O29" s="5" t="s">
        <v>212</v>
      </c>
      <c r="P29" s="5" t="s">
        <v>213</v>
      </c>
      <c r="Q29" s="5" t="s">
        <v>213</v>
      </c>
    </row>
    <row r="30" ht="78" customHeight="1" spans="1:17">
      <c r="A30" s="5" t="s">
        <v>423</v>
      </c>
      <c r="B30" s="5" t="s">
        <v>11</v>
      </c>
      <c r="C30" s="5" t="s">
        <v>424</v>
      </c>
      <c r="D30" s="5" t="s">
        <v>425</v>
      </c>
      <c r="E30" s="5" t="s">
        <v>426</v>
      </c>
      <c r="F30" s="5" t="s">
        <v>100</v>
      </c>
      <c r="G30" s="5" t="s">
        <v>100</v>
      </c>
      <c r="H30" s="5" t="s">
        <v>216</v>
      </c>
      <c r="I30" s="5" t="s">
        <v>427</v>
      </c>
      <c r="J30" s="5" t="s">
        <v>428</v>
      </c>
      <c r="K30" s="5" t="s">
        <v>429</v>
      </c>
      <c r="L30" s="5" t="s">
        <v>430</v>
      </c>
      <c r="M30" s="5" t="s">
        <v>431</v>
      </c>
      <c r="N30" s="5" t="s">
        <v>100</v>
      </c>
      <c r="O30" s="5" t="s">
        <v>212</v>
      </c>
      <c r="P30" s="5" t="s">
        <v>213</v>
      </c>
      <c r="Q30" s="5" t="s">
        <v>213</v>
      </c>
    </row>
    <row r="31" ht="78" customHeight="1" spans="1:17">
      <c r="A31" s="5" t="s">
        <v>432</v>
      </c>
      <c r="B31" s="5" t="s">
        <v>11</v>
      </c>
      <c r="C31" s="5" t="s">
        <v>433</v>
      </c>
      <c r="D31" s="5" t="s">
        <v>434</v>
      </c>
      <c r="E31" s="5" t="s">
        <v>435</v>
      </c>
      <c r="F31" s="5" t="s">
        <v>100</v>
      </c>
      <c r="G31" s="5" t="s">
        <v>100</v>
      </c>
      <c r="H31" s="5" t="s">
        <v>216</v>
      </c>
      <c r="I31" s="5" t="s">
        <v>436</v>
      </c>
      <c r="J31" s="5" t="s">
        <v>437</v>
      </c>
      <c r="K31" s="5" t="s">
        <v>438</v>
      </c>
      <c r="L31" s="5" t="s">
        <v>439</v>
      </c>
      <c r="M31" s="5" t="s">
        <v>440</v>
      </c>
      <c r="N31" s="5" t="s">
        <v>100</v>
      </c>
      <c r="O31" s="5" t="s">
        <v>212</v>
      </c>
      <c r="P31" s="5" t="s">
        <v>213</v>
      </c>
      <c r="Q31" s="5" t="s">
        <v>213</v>
      </c>
    </row>
    <row r="32" ht="78" customHeight="1" spans="1:17">
      <c r="A32" s="5" t="s">
        <v>441</v>
      </c>
      <c r="B32" s="5" t="s">
        <v>12</v>
      </c>
      <c r="C32" s="5" t="s">
        <v>433</v>
      </c>
      <c r="D32" s="5" t="s">
        <v>416</v>
      </c>
      <c r="E32" s="5" t="s">
        <v>442</v>
      </c>
      <c r="F32" s="5" t="s">
        <v>233</v>
      </c>
      <c r="G32" s="5" t="s">
        <v>100</v>
      </c>
      <c r="H32" s="5" t="s">
        <v>216</v>
      </c>
      <c r="I32" s="5" t="s">
        <v>443</v>
      </c>
      <c r="J32" s="5" t="s">
        <v>444</v>
      </c>
      <c r="K32" s="5" t="s">
        <v>445</v>
      </c>
      <c r="L32" s="5" t="s">
        <v>446</v>
      </c>
      <c r="M32" s="5" t="s">
        <v>447</v>
      </c>
      <c r="N32" s="5" t="s">
        <v>100</v>
      </c>
      <c r="O32" s="5" t="s">
        <v>212</v>
      </c>
      <c r="P32" s="5" t="s">
        <v>213</v>
      </c>
      <c r="Q32" s="5" t="s">
        <v>213</v>
      </c>
    </row>
    <row r="33" ht="78" customHeight="1" spans="1:17">
      <c r="A33" s="5" t="s">
        <v>448</v>
      </c>
      <c r="B33" s="5" t="s">
        <v>11</v>
      </c>
      <c r="C33" s="5" t="s">
        <v>449</v>
      </c>
      <c r="D33" s="5" t="s">
        <v>390</v>
      </c>
      <c r="E33" s="5" t="s">
        <v>450</v>
      </c>
      <c r="F33" s="5" t="s">
        <v>100</v>
      </c>
      <c r="G33" s="5" t="s">
        <v>100</v>
      </c>
      <c r="H33" s="5" t="s">
        <v>216</v>
      </c>
      <c r="I33" s="5" t="s">
        <v>451</v>
      </c>
      <c r="J33" s="5" t="s">
        <v>452</v>
      </c>
      <c r="K33" s="5" t="s">
        <v>453</v>
      </c>
      <c r="L33" s="5" t="s">
        <v>454</v>
      </c>
      <c r="M33" s="5" t="s">
        <v>455</v>
      </c>
      <c r="N33" s="5" t="s">
        <v>100</v>
      </c>
      <c r="O33" s="5" t="s">
        <v>212</v>
      </c>
      <c r="P33" s="5" t="s">
        <v>213</v>
      </c>
      <c r="Q33" s="5" t="s">
        <v>213</v>
      </c>
    </row>
    <row r="34" ht="78" customHeight="1" spans="1:17">
      <c r="A34" s="5" t="s">
        <v>456</v>
      </c>
      <c r="B34" s="5" t="s">
        <v>11</v>
      </c>
      <c r="C34" s="5" t="s">
        <v>457</v>
      </c>
      <c r="D34" s="5" t="s">
        <v>458</v>
      </c>
      <c r="E34" s="5" t="s">
        <v>459</v>
      </c>
      <c r="F34" s="5" t="s">
        <v>100</v>
      </c>
      <c r="G34" s="5" t="s">
        <v>100</v>
      </c>
      <c r="H34" s="5" t="s">
        <v>216</v>
      </c>
      <c r="I34" s="5" t="s">
        <v>460</v>
      </c>
      <c r="J34" s="5" t="s">
        <v>461</v>
      </c>
      <c r="K34" s="5" t="s">
        <v>462</v>
      </c>
      <c r="L34" s="5" t="s">
        <v>463</v>
      </c>
      <c r="M34" s="5" t="s">
        <v>464</v>
      </c>
      <c r="N34" s="5" t="s">
        <v>100</v>
      </c>
      <c r="O34" s="5" t="s">
        <v>212</v>
      </c>
      <c r="P34" s="5" t="s">
        <v>213</v>
      </c>
      <c r="Q34" s="5" t="s">
        <v>213</v>
      </c>
    </row>
    <row r="35" ht="78" customHeight="1" spans="1:17">
      <c r="A35" s="5" t="s">
        <v>465</v>
      </c>
      <c r="B35" s="5" t="s">
        <v>12</v>
      </c>
      <c r="C35" s="5" t="s">
        <v>466</v>
      </c>
      <c r="D35" s="5" t="s">
        <v>467</v>
      </c>
      <c r="E35" s="5" t="s">
        <v>468</v>
      </c>
      <c r="F35" s="5" t="s">
        <v>233</v>
      </c>
      <c r="G35" s="5" t="s">
        <v>100</v>
      </c>
      <c r="H35" s="5" t="s">
        <v>216</v>
      </c>
      <c r="I35" s="5" t="s">
        <v>469</v>
      </c>
      <c r="J35" s="5" t="s">
        <v>470</v>
      </c>
      <c r="K35" s="5" t="s">
        <v>471</v>
      </c>
      <c r="L35" s="5" t="s">
        <v>472</v>
      </c>
      <c r="M35" s="5" t="s">
        <v>473</v>
      </c>
      <c r="N35" s="5" t="s">
        <v>100</v>
      </c>
      <c r="O35" s="5" t="s">
        <v>212</v>
      </c>
      <c r="P35" s="5" t="s">
        <v>213</v>
      </c>
      <c r="Q35" s="5" t="s">
        <v>213</v>
      </c>
    </row>
    <row r="36" ht="78" customHeight="1" spans="1:17">
      <c r="A36" s="5" t="s">
        <v>474</v>
      </c>
      <c r="B36" s="5" t="s">
        <v>11</v>
      </c>
      <c r="C36" s="5" t="s">
        <v>475</v>
      </c>
      <c r="D36" s="5" t="s">
        <v>204</v>
      </c>
      <c r="E36" s="5" t="s">
        <v>476</v>
      </c>
      <c r="F36" s="5" t="s">
        <v>100</v>
      </c>
      <c r="G36" s="5" t="s">
        <v>100</v>
      </c>
      <c r="H36" s="5" t="s">
        <v>216</v>
      </c>
      <c r="I36" s="5" t="s">
        <v>477</v>
      </c>
      <c r="J36" s="5" t="s">
        <v>478</v>
      </c>
      <c r="K36" s="5" t="s">
        <v>479</v>
      </c>
      <c r="L36" s="5" t="s">
        <v>480</v>
      </c>
      <c r="M36" s="5" t="s">
        <v>481</v>
      </c>
      <c r="N36" s="5" t="s">
        <v>100</v>
      </c>
      <c r="O36" s="5" t="s">
        <v>212</v>
      </c>
      <c r="P36" s="5" t="s">
        <v>213</v>
      </c>
      <c r="Q36" s="5" t="s">
        <v>213</v>
      </c>
    </row>
    <row r="37" ht="78" customHeight="1" spans="1:17">
      <c r="A37" s="5" t="s">
        <v>482</v>
      </c>
      <c r="B37" s="5" t="s">
        <v>11</v>
      </c>
      <c r="C37" s="5" t="s">
        <v>483</v>
      </c>
      <c r="D37" s="5" t="s">
        <v>484</v>
      </c>
      <c r="E37" s="5" t="s">
        <v>485</v>
      </c>
      <c r="F37" s="5" t="s">
        <v>100</v>
      </c>
      <c r="G37" s="5" t="s">
        <v>100</v>
      </c>
      <c r="H37" s="5" t="s">
        <v>216</v>
      </c>
      <c r="I37" s="5" t="s">
        <v>486</v>
      </c>
      <c r="J37" s="5" t="s">
        <v>487</v>
      </c>
      <c r="K37" s="5" t="s">
        <v>488</v>
      </c>
      <c r="L37" s="5" t="s">
        <v>489</v>
      </c>
      <c r="M37" s="5" t="s">
        <v>490</v>
      </c>
      <c r="N37" s="5" t="s">
        <v>100</v>
      </c>
      <c r="O37" s="5" t="s">
        <v>212</v>
      </c>
      <c r="P37" s="5" t="s">
        <v>213</v>
      </c>
      <c r="Q37" s="5" t="s">
        <v>213</v>
      </c>
    </row>
    <row r="38" ht="78" customHeight="1" spans="1:17">
      <c r="A38" s="5" t="s">
        <v>491</v>
      </c>
      <c r="B38" s="5" t="s">
        <v>12</v>
      </c>
      <c r="C38" s="5" t="s">
        <v>492</v>
      </c>
      <c r="D38" s="5" t="s">
        <v>493</v>
      </c>
      <c r="E38" s="5" t="s">
        <v>494</v>
      </c>
      <c r="F38" s="5" t="s">
        <v>233</v>
      </c>
      <c r="G38" s="5" t="s">
        <v>233</v>
      </c>
      <c r="H38" s="5" t="s">
        <v>216</v>
      </c>
      <c r="I38" s="5" t="s">
        <v>495</v>
      </c>
      <c r="J38" s="5" t="s">
        <v>496</v>
      </c>
      <c r="K38" s="5" t="s">
        <v>497</v>
      </c>
      <c r="L38" s="5" t="s">
        <v>498</v>
      </c>
      <c r="M38" s="5" t="s">
        <v>499</v>
      </c>
      <c r="N38" s="5" t="s">
        <v>100</v>
      </c>
      <c r="O38" s="5" t="s">
        <v>212</v>
      </c>
      <c r="P38" s="5" t="s">
        <v>213</v>
      </c>
      <c r="Q38" s="5" t="s">
        <v>213</v>
      </c>
    </row>
    <row r="39" ht="78" customHeight="1" spans="1:17">
      <c r="A39" s="5" t="s">
        <v>500</v>
      </c>
      <c r="B39" s="5" t="s">
        <v>11</v>
      </c>
      <c r="C39" s="5" t="s">
        <v>501</v>
      </c>
      <c r="D39" s="5" t="s">
        <v>204</v>
      </c>
      <c r="E39" s="5" t="s">
        <v>502</v>
      </c>
      <c r="F39" s="5" t="s">
        <v>100</v>
      </c>
      <c r="G39" s="5" t="s">
        <v>100</v>
      </c>
      <c r="H39" s="5" t="s">
        <v>503</v>
      </c>
      <c r="I39" s="5" t="s">
        <v>504</v>
      </c>
      <c r="J39" s="5" t="s">
        <v>505</v>
      </c>
      <c r="K39" s="5" t="s">
        <v>506</v>
      </c>
      <c r="L39" s="5" t="s">
        <v>507</v>
      </c>
      <c r="M39" s="5" t="s">
        <v>508</v>
      </c>
      <c r="N39" s="5" t="s">
        <v>100</v>
      </c>
      <c r="O39" s="5" t="s">
        <v>212</v>
      </c>
      <c r="P39" s="5" t="s">
        <v>213</v>
      </c>
      <c r="Q39" s="5" t="s">
        <v>213</v>
      </c>
    </row>
    <row r="40" ht="78" customHeight="1" spans="1:17">
      <c r="A40" s="5" t="s">
        <v>509</v>
      </c>
      <c r="B40" s="5" t="s">
        <v>11</v>
      </c>
      <c r="C40" s="5" t="s">
        <v>510</v>
      </c>
      <c r="D40" s="5" t="s">
        <v>511</v>
      </c>
      <c r="E40" s="5" t="s">
        <v>512</v>
      </c>
      <c r="F40" s="5" t="s">
        <v>100</v>
      </c>
      <c r="G40" s="5" t="s">
        <v>100</v>
      </c>
      <c r="H40" s="5" t="s">
        <v>216</v>
      </c>
      <c r="I40" s="5" t="s">
        <v>513</v>
      </c>
      <c r="J40" s="5" t="s">
        <v>514</v>
      </c>
      <c r="K40" s="5" t="s">
        <v>515</v>
      </c>
      <c r="L40" s="5" t="s">
        <v>516</v>
      </c>
      <c r="M40" s="5" t="s">
        <v>517</v>
      </c>
      <c r="N40" s="5" t="s">
        <v>100</v>
      </c>
      <c r="O40" s="5" t="s">
        <v>212</v>
      </c>
      <c r="P40" s="5" t="s">
        <v>213</v>
      </c>
      <c r="Q40" s="5" t="s">
        <v>213</v>
      </c>
    </row>
    <row r="41" ht="78" customHeight="1" spans="1:17">
      <c r="A41" s="5" t="s">
        <v>518</v>
      </c>
      <c r="B41" s="5" t="s">
        <v>519</v>
      </c>
      <c r="C41" s="5" t="s">
        <v>520</v>
      </c>
      <c r="D41" s="5" t="s">
        <v>521</v>
      </c>
      <c r="E41" s="5" t="s">
        <v>522</v>
      </c>
      <c r="F41" s="5" t="s">
        <v>345</v>
      </c>
      <c r="G41" s="5" t="s">
        <v>233</v>
      </c>
      <c r="H41" s="5" t="s">
        <v>216</v>
      </c>
      <c r="I41" s="5" t="s">
        <v>523</v>
      </c>
      <c r="J41" s="5" t="s">
        <v>524</v>
      </c>
      <c r="K41" s="5" t="s">
        <v>525</v>
      </c>
      <c r="L41" s="5" t="s">
        <v>526</v>
      </c>
      <c r="M41" s="5" t="s">
        <v>527</v>
      </c>
      <c r="N41" s="5" t="s">
        <v>100</v>
      </c>
      <c r="O41" s="5" t="s">
        <v>212</v>
      </c>
      <c r="P41" s="5" t="s">
        <v>213</v>
      </c>
      <c r="Q41" s="5" t="s">
        <v>213</v>
      </c>
    </row>
    <row r="42" ht="78" customHeight="1" spans="1:17">
      <c r="A42" s="5" t="s">
        <v>528</v>
      </c>
      <c r="B42" s="5" t="s">
        <v>12</v>
      </c>
      <c r="C42" s="5" t="s">
        <v>529</v>
      </c>
      <c r="D42" s="5" t="s">
        <v>298</v>
      </c>
      <c r="E42" s="5" t="s">
        <v>530</v>
      </c>
      <c r="F42" s="5" t="s">
        <v>233</v>
      </c>
      <c r="G42" s="5" t="s">
        <v>233</v>
      </c>
      <c r="H42" s="5" t="s">
        <v>531</v>
      </c>
      <c r="I42" s="5" t="s">
        <v>532</v>
      </c>
      <c r="J42" s="5" t="s">
        <v>533</v>
      </c>
      <c r="K42" s="5" t="s">
        <v>534</v>
      </c>
      <c r="L42" s="5" t="s">
        <v>535</v>
      </c>
      <c r="M42" s="5" t="s">
        <v>536</v>
      </c>
      <c r="N42" s="5" t="s">
        <v>100</v>
      </c>
      <c r="O42" s="5" t="s">
        <v>306</v>
      </c>
      <c r="P42" s="5" t="s">
        <v>213</v>
      </c>
      <c r="Q42" s="5" t="s">
        <v>213</v>
      </c>
    </row>
  </sheetData>
  <mergeCells count="2">
    <mergeCell ref="A1:Q1"/>
    <mergeCell ref="A2:Q2"/>
  </mergeCells>
  <conditionalFormatting sqref="B5:B42">
    <cfRule type="containsText" dxfId="0" priority="4" operator="between" text="P0">
      <formula>NOT(ISERROR(SEARCH("P0",B5)))</formula>
    </cfRule>
    <cfRule type="containsText" dxfId="1" priority="5" operator="between" text="P1">
      <formula>NOT(ISERROR(SEARCH("P1",B5)))</formula>
    </cfRule>
  </conditionalFormatting>
  <conditionalFormatting sqref="F5:F42">
    <cfRule type="containsText" dxfId="0" priority="1" operator="between" text="极高">
      <formula>NOT(ISERROR(SEARCH("极高",F5)))</formula>
    </cfRule>
    <cfRule type="containsText" dxfId="1" priority="2" operator="between" text="高">
      <formula>NOT(ISERROR(SEARCH("高",F5)))</formula>
    </cfRule>
    <cfRule type="containsText" dxfId="2" priority="3" operator="between" text="中">
      <formula>NOT(ISERROR(SEARCH("中",F5)))</formula>
    </cfRule>
  </conditionalFormatting>
  <dataValidations count="1">
    <dataValidation type="list" sqref="O5:O42">
      <formula1>"待处理,处理中,待复测,已关闭,接受风险"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selection activeCell="E21" sqref="E21"/>
    </sheetView>
  </sheetViews>
  <sheetFormatPr defaultColWidth="9" defaultRowHeight="14.1"/>
  <cols>
    <col min="1" max="1" width="16" customWidth="1"/>
    <col min="2" max="3" width="27.7833333333333" customWidth="1"/>
    <col min="4" max="4" width="12.7166666666667" customWidth="1"/>
    <col min="5" max="5" width="30" customWidth="1"/>
    <col min="6" max="6" width="34" customWidth="1"/>
    <col min="7" max="7" width="56.075" customWidth="1"/>
    <col min="8" max="9" width="34" customWidth="1"/>
    <col min="10" max="10" width="42" customWidth="1"/>
    <col min="11" max="11" width="22" customWidth="1"/>
    <col min="12" max="12" width="52" customWidth="1"/>
    <col min="13" max="13" width="42" customWidth="1"/>
    <col min="14" max="14" width="55" customWidth="1"/>
    <col min="15" max="15" width="14" customWidth="1"/>
  </cols>
  <sheetData>
    <row r="1" ht="36" customHeight="1" spans="1:15">
      <c r="A1" s="1" t="s">
        <v>537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538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0" customHeight="1" spans="1:15">
      <c r="A4" s="4" t="s">
        <v>68</v>
      </c>
      <c r="B4" s="4" t="s">
        <v>539</v>
      </c>
      <c r="C4" s="4" t="s">
        <v>540</v>
      </c>
      <c r="D4" s="4" t="s">
        <v>541</v>
      </c>
      <c r="E4" s="4" t="s">
        <v>542</v>
      </c>
      <c r="F4" s="4" t="s">
        <v>543</v>
      </c>
      <c r="G4" s="4" t="s">
        <v>544</v>
      </c>
      <c r="H4" s="4" t="s">
        <v>545</v>
      </c>
      <c r="I4" s="4" t="s">
        <v>546</v>
      </c>
      <c r="J4" s="4" t="s">
        <v>547</v>
      </c>
      <c r="K4" s="4" t="s">
        <v>548</v>
      </c>
      <c r="L4" s="4" t="s">
        <v>549</v>
      </c>
      <c r="M4" s="4" t="s">
        <v>550</v>
      </c>
      <c r="N4" s="4" t="s">
        <v>551</v>
      </c>
      <c r="O4" s="4" t="s">
        <v>552</v>
      </c>
    </row>
    <row r="5" ht="30" customHeight="1" spans="1:15">
      <c r="A5" s="6" t="s">
        <v>553</v>
      </c>
      <c r="B5" s="6" t="s">
        <v>554</v>
      </c>
      <c r="C5" s="6" t="s">
        <v>555</v>
      </c>
      <c r="D5" s="6" t="s">
        <v>556</v>
      </c>
      <c r="E5" s="6" t="s">
        <v>557</v>
      </c>
      <c r="F5" s="6" t="s">
        <v>558</v>
      </c>
      <c r="G5" s="6"/>
      <c r="H5" s="6"/>
      <c r="I5" s="6" t="s">
        <v>559</v>
      </c>
      <c r="J5" s="6"/>
      <c r="K5" s="6"/>
      <c r="L5" s="6" t="s">
        <v>560</v>
      </c>
      <c r="M5" s="6" t="s">
        <v>561</v>
      </c>
      <c r="N5" s="6" t="s">
        <v>562</v>
      </c>
      <c r="O5" s="6" t="s">
        <v>563</v>
      </c>
    </row>
    <row r="6" ht="30" customHeight="1" spans="1:15">
      <c r="A6" s="5" t="s">
        <v>564</v>
      </c>
      <c r="B6" s="5" t="s">
        <v>565</v>
      </c>
      <c r="C6" s="5" t="s">
        <v>566</v>
      </c>
      <c r="D6" s="5" t="s">
        <v>567</v>
      </c>
      <c r="E6" s="5" t="s">
        <v>568</v>
      </c>
      <c r="F6" s="5" t="s">
        <v>569</v>
      </c>
      <c r="G6" s="5"/>
      <c r="H6" s="5" t="s">
        <v>570</v>
      </c>
      <c r="I6" s="5" t="s">
        <v>571</v>
      </c>
      <c r="J6" s="5" t="s">
        <v>572</v>
      </c>
      <c r="K6" s="5" t="s">
        <v>573</v>
      </c>
      <c r="L6" s="5" t="s">
        <v>574</v>
      </c>
      <c r="M6" s="5" t="s">
        <v>575</v>
      </c>
      <c r="N6" s="5" t="s">
        <v>576</v>
      </c>
      <c r="O6" s="5" t="s">
        <v>563</v>
      </c>
    </row>
    <row r="7" ht="30" customHeight="1" spans="1:15">
      <c r="A7" s="5" t="s">
        <v>577</v>
      </c>
      <c r="B7" s="5" t="s">
        <v>578</v>
      </c>
      <c r="C7" s="5" t="s">
        <v>579</v>
      </c>
      <c r="D7" s="5" t="s">
        <v>567</v>
      </c>
      <c r="E7" s="5" t="s">
        <v>580</v>
      </c>
      <c r="F7" s="5" t="s">
        <v>581</v>
      </c>
      <c r="G7" s="5"/>
      <c r="H7" s="5"/>
      <c r="I7" s="5"/>
      <c r="J7" s="5" t="s">
        <v>582</v>
      </c>
      <c r="K7" s="5" t="s">
        <v>583</v>
      </c>
      <c r="L7" s="5" t="s">
        <v>584</v>
      </c>
      <c r="M7" s="5" t="s">
        <v>585</v>
      </c>
      <c r="N7" s="5" t="s">
        <v>586</v>
      </c>
      <c r="O7" s="5" t="s">
        <v>563</v>
      </c>
    </row>
    <row r="8" ht="30" customHeight="1" spans="1:15">
      <c r="A8" s="5" t="s">
        <v>587</v>
      </c>
      <c r="B8" s="5" t="s">
        <v>588</v>
      </c>
      <c r="C8" s="5" t="s">
        <v>589</v>
      </c>
      <c r="D8" s="5" t="s">
        <v>590</v>
      </c>
      <c r="E8" s="5" t="s">
        <v>591</v>
      </c>
      <c r="F8" s="5" t="s">
        <v>592</v>
      </c>
      <c r="G8" s="5"/>
      <c r="H8" s="5"/>
      <c r="I8" s="5"/>
      <c r="J8" s="5" t="s">
        <v>593</v>
      </c>
      <c r="K8" s="5" t="s">
        <v>594</v>
      </c>
      <c r="L8" s="5" t="s">
        <v>595</v>
      </c>
      <c r="M8" s="5" t="s">
        <v>596</v>
      </c>
      <c r="N8" s="5" t="s">
        <v>597</v>
      </c>
      <c r="O8" s="5" t="s">
        <v>563</v>
      </c>
    </row>
    <row r="9" ht="30" customHeight="1" spans="1:15">
      <c r="A9" s="5" t="s">
        <v>598</v>
      </c>
      <c r="B9" s="5" t="s">
        <v>599</v>
      </c>
      <c r="C9" s="5" t="s">
        <v>600</v>
      </c>
      <c r="D9" s="5" t="s">
        <v>567</v>
      </c>
      <c r="E9" s="5" t="s">
        <v>601</v>
      </c>
      <c r="F9" s="5" t="s">
        <v>602</v>
      </c>
      <c r="G9" s="5"/>
      <c r="H9" s="5" t="s">
        <v>603</v>
      </c>
      <c r="I9" s="5"/>
      <c r="J9" s="5" t="s">
        <v>604</v>
      </c>
      <c r="K9" s="5" t="s">
        <v>605</v>
      </c>
      <c r="L9" s="5" t="s">
        <v>606</v>
      </c>
      <c r="M9" s="5" t="s">
        <v>607</v>
      </c>
      <c r="N9" s="5" t="s">
        <v>608</v>
      </c>
      <c r="O9" s="5" t="s">
        <v>563</v>
      </c>
    </row>
    <row r="10" ht="30" customHeight="1" spans="1:15">
      <c r="A10" s="5" t="s">
        <v>609</v>
      </c>
      <c r="B10" s="5" t="s">
        <v>610</v>
      </c>
      <c r="C10" s="5" t="s">
        <v>611</v>
      </c>
      <c r="D10" s="5" t="s">
        <v>567</v>
      </c>
      <c r="E10" s="5" t="s">
        <v>612</v>
      </c>
      <c r="F10" s="5" t="s">
        <v>613</v>
      </c>
      <c r="G10" s="5"/>
      <c r="H10" s="5"/>
      <c r="I10" s="5" t="s">
        <v>614</v>
      </c>
      <c r="J10" s="5" t="s">
        <v>615</v>
      </c>
      <c r="K10" s="5"/>
      <c r="L10" s="5" t="s">
        <v>616</v>
      </c>
      <c r="M10" s="5" t="s">
        <v>617</v>
      </c>
      <c r="N10" s="5" t="s">
        <v>618</v>
      </c>
      <c r="O10" s="5" t="s">
        <v>563</v>
      </c>
    </row>
    <row r="11" ht="30" customHeight="1" spans="1:15">
      <c r="A11" s="5" t="s">
        <v>619</v>
      </c>
      <c r="B11" s="5" t="s">
        <v>620</v>
      </c>
      <c r="C11" s="5" t="s">
        <v>621</v>
      </c>
      <c r="D11" s="5" t="s">
        <v>567</v>
      </c>
      <c r="E11" s="5" t="s">
        <v>622</v>
      </c>
      <c r="F11" s="5" t="s">
        <v>623</v>
      </c>
      <c r="G11" s="5"/>
      <c r="H11" s="5"/>
      <c r="I11" s="5" t="s">
        <v>624</v>
      </c>
      <c r="J11" s="5" t="s">
        <v>625</v>
      </c>
      <c r="K11" s="5" t="s">
        <v>626</v>
      </c>
      <c r="L11" s="5" t="s">
        <v>627</v>
      </c>
      <c r="M11" s="5" t="s">
        <v>628</v>
      </c>
      <c r="N11" s="5" t="s">
        <v>629</v>
      </c>
      <c r="O11" s="5" t="s">
        <v>563</v>
      </c>
    </row>
    <row r="12" ht="30" customHeight="1" spans="1:15">
      <c r="A12" s="5" t="s">
        <v>630</v>
      </c>
      <c r="B12" s="5" t="s">
        <v>631</v>
      </c>
      <c r="C12" s="5" t="s">
        <v>632</v>
      </c>
      <c r="D12" s="5" t="s">
        <v>567</v>
      </c>
      <c r="E12" s="5" t="s">
        <v>633</v>
      </c>
      <c r="F12" s="5" t="s">
        <v>634</v>
      </c>
      <c r="G12" s="5" t="s">
        <v>635</v>
      </c>
      <c r="H12" s="5"/>
      <c r="I12" s="5" t="s">
        <v>636</v>
      </c>
      <c r="J12" s="5"/>
      <c r="K12" s="5" t="s">
        <v>637</v>
      </c>
      <c r="L12" s="5" t="s">
        <v>638</v>
      </c>
      <c r="M12" s="5" t="s">
        <v>639</v>
      </c>
      <c r="N12" s="5" t="s">
        <v>640</v>
      </c>
      <c r="O12" s="5" t="s">
        <v>563</v>
      </c>
    </row>
    <row r="13" ht="30" customHeight="1" spans="1:15">
      <c r="A13" s="5" t="s">
        <v>641</v>
      </c>
      <c r="B13" s="5" t="s">
        <v>642</v>
      </c>
      <c r="C13" s="5" t="s">
        <v>643</v>
      </c>
      <c r="D13" s="5" t="s">
        <v>567</v>
      </c>
      <c r="E13" s="5" t="s">
        <v>644</v>
      </c>
      <c r="F13" s="5" t="s">
        <v>645</v>
      </c>
      <c r="G13" s="5"/>
      <c r="H13" s="5"/>
      <c r="I13" s="5" t="s">
        <v>646</v>
      </c>
      <c r="J13" s="5" t="s">
        <v>647</v>
      </c>
      <c r="K13" s="5" t="s">
        <v>648</v>
      </c>
      <c r="L13" s="5" t="s">
        <v>649</v>
      </c>
      <c r="M13" s="5" t="s">
        <v>650</v>
      </c>
      <c r="N13" s="5" t="s">
        <v>651</v>
      </c>
      <c r="O13" s="5" t="s">
        <v>563</v>
      </c>
    </row>
  </sheetData>
  <mergeCells count="2">
    <mergeCell ref="A1:O1"/>
    <mergeCell ref="A2:O2"/>
  </mergeCells>
  <conditionalFormatting sqref="G5:K13">
    <cfRule type="containsBlanks" dxfId="3" priority="1">
      <formula>LEN(TRIM(G5))=0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selection activeCell="D12" sqref="D12"/>
    </sheetView>
  </sheetViews>
  <sheetFormatPr defaultColWidth="9" defaultRowHeight="14.1"/>
  <cols>
    <col min="1" max="1" width="28" customWidth="1"/>
    <col min="2" max="2" width="34" customWidth="1"/>
    <col min="3" max="3" width="38" customWidth="1"/>
    <col min="4" max="4" width="52" customWidth="1"/>
    <col min="5" max="5" width="42" customWidth="1"/>
    <col min="6" max="6" width="12" customWidth="1"/>
    <col min="7" max="7" width="16" customWidth="1"/>
    <col min="8" max="8" width="30" customWidth="1"/>
    <col min="9" max="9" width="36" customWidth="1"/>
  </cols>
  <sheetData>
    <row r="1" ht="36" customHeight="1" spans="1:9">
      <c r="A1" s="1" t="s">
        <v>652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653</v>
      </c>
      <c r="B2" s="2"/>
      <c r="C2" s="2"/>
      <c r="D2" s="2"/>
      <c r="E2" s="2"/>
      <c r="F2" s="2"/>
      <c r="G2" s="2"/>
      <c r="H2" s="2"/>
      <c r="I2" s="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ht="30" customHeight="1" spans="1:9">
      <c r="A4" s="4" t="s">
        <v>654</v>
      </c>
      <c r="B4" s="4" t="s">
        <v>655</v>
      </c>
      <c r="C4" s="4" t="s">
        <v>656</v>
      </c>
      <c r="D4" s="4" t="s">
        <v>657</v>
      </c>
      <c r="E4" s="4" t="s">
        <v>658</v>
      </c>
      <c r="F4" s="4" t="s">
        <v>186</v>
      </c>
      <c r="G4" s="4" t="s">
        <v>659</v>
      </c>
      <c r="H4" s="4" t="s">
        <v>660</v>
      </c>
      <c r="I4" s="4" t="s">
        <v>661</v>
      </c>
    </row>
    <row r="5" ht="30" customHeight="1" spans="1:9">
      <c r="A5" s="5" t="s">
        <v>662</v>
      </c>
      <c r="B5" s="5" t="s">
        <v>663</v>
      </c>
      <c r="C5" s="5" t="s">
        <v>664</v>
      </c>
      <c r="D5" s="5" t="s">
        <v>665</v>
      </c>
      <c r="E5" s="5" t="s">
        <v>666</v>
      </c>
      <c r="F5" s="5" t="s">
        <v>10</v>
      </c>
      <c r="G5" s="5" t="s">
        <v>40</v>
      </c>
      <c r="H5" s="5" t="s">
        <v>667</v>
      </c>
      <c r="I5" s="5" t="s">
        <v>668</v>
      </c>
    </row>
    <row r="6" ht="30" customHeight="1" spans="1:9">
      <c r="A6" s="5" t="s">
        <v>669</v>
      </c>
      <c r="B6" s="5" t="s">
        <v>670</v>
      </c>
      <c r="C6" s="5" t="s">
        <v>671</v>
      </c>
      <c r="D6" s="5" t="s">
        <v>672</v>
      </c>
      <c r="E6" s="5" t="s">
        <v>673</v>
      </c>
      <c r="F6" s="5" t="s">
        <v>11</v>
      </c>
      <c r="G6" s="5" t="s">
        <v>58</v>
      </c>
      <c r="H6" s="5" t="s">
        <v>674</v>
      </c>
      <c r="I6" s="5" t="s">
        <v>675</v>
      </c>
    </row>
    <row r="7" ht="30" customHeight="1" spans="1:9">
      <c r="A7" s="5" t="s">
        <v>676</v>
      </c>
      <c r="B7" s="5" t="s">
        <v>677</v>
      </c>
      <c r="C7" s="5" t="s">
        <v>678</v>
      </c>
      <c r="D7" s="5" t="s">
        <v>679</v>
      </c>
      <c r="E7" s="5" t="s">
        <v>680</v>
      </c>
      <c r="F7" s="5" t="s">
        <v>11</v>
      </c>
      <c r="G7" s="5" t="s">
        <v>71</v>
      </c>
      <c r="H7" s="5" t="s">
        <v>681</v>
      </c>
      <c r="I7" s="5" t="s">
        <v>682</v>
      </c>
    </row>
    <row r="8" ht="30" customHeight="1" spans="1:9">
      <c r="A8" s="5" t="s">
        <v>683</v>
      </c>
      <c r="B8" s="5" t="s">
        <v>684</v>
      </c>
      <c r="C8" s="5" t="s">
        <v>685</v>
      </c>
      <c r="D8" s="5" t="s">
        <v>686</v>
      </c>
      <c r="E8" s="5" t="s">
        <v>687</v>
      </c>
      <c r="F8" s="5" t="s">
        <v>11</v>
      </c>
      <c r="G8" s="5" t="s">
        <v>71</v>
      </c>
      <c r="H8" s="5" t="s">
        <v>688</v>
      </c>
      <c r="I8" s="5" t="s">
        <v>689</v>
      </c>
    </row>
    <row r="9" ht="30" customHeight="1" spans="1:9">
      <c r="A9" s="5" t="s">
        <v>690</v>
      </c>
      <c r="B9" s="5" t="s">
        <v>691</v>
      </c>
      <c r="C9" s="5" t="s">
        <v>692</v>
      </c>
      <c r="D9" s="5" t="s">
        <v>693</v>
      </c>
      <c r="E9" s="5" t="s">
        <v>694</v>
      </c>
      <c r="F9" s="5" t="s">
        <v>11</v>
      </c>
      <c r="G9" s="5" t="s">
        <v>71</v>
      </c>
      <c r="H9" s="5" t="s">
        <v>695</v>
      </c>
      <c r="I9" s="5" t="s">
        <v>696</v>
      </c>
    </row>
    <row r="10" ht="30" customHeight="1" spans="1:9">
      <c r="A10" s="5" t="s">
        <v>697</v>
      </c>
      <c r="B10" s="5" t="s">
        <v>698</v>
      </c>
      <c r="C10" s="5" t="s">
        <v>699</v>
      </c>
      <c r="D10" s="5" t="s">
        <v>700</v>
      </c>
      <c r="E10" s="5" t="s">
        <v>701</v>
      </c>
      <c r="F10" s="5" t="s">
        <v>11</v>
      </c>
      <c r="G10" s="5" t="s">
        <v>58</v>
      </c>
      <c r="H10" s="5" t="s">
        <v>702</v>
      </c>
      <c r="I10" s="5" t="s">
        <v>703</v>
      </c>
    </row>
    <row r="11" ht="30" customHeight="1" spans="1:9">
      <c r="A11" s="5" t="s">
        <v>704</v>
      </c>
      <c r="B11" s="5" t="s">
        <v>705</v>
      </c>
      <c r="C11" s="5" t="s">
        <v>706</v>
      </c>
      <c r="D11" s="5" t="s">
        <v>707</v>
      </c>
      <c r="E11" s="5" t="s">
        <v>708</v>
      </c>
      <c r="F11" s="5" t="s">
        <v>11</v>
      </c>
      <c r="G11" s="5" t="s">
        <v>71</v>
      </c>
      <c r="H11" s="5" t="s">
        <v>709</v>
      </c>
      <c r="I11" s="5" t="s">
        <v>710</v>
      </c>
    </row>
    <row r="12" ht="30" customHeight="1" spans="1:9">
      <c r="A12" s="5" t="s">
        <v>711</v>
      </c>
      <c r="B12" s="5" t="s">
        <v>712</v>
      </c>
      <c r="C12" s="5" t="s">
        <v>713</v>
      </c>
      <c r="D12" s="5" t="s">
        <v>714</v>
      </c>
      <c r="E12" s="5" t="s">
        <v>715</v>
      </c>
      <c r="F12" s="5" t="s">
        <v>12</v>
      </c>
      <c r="G12" s="5" t="s">
        <v>71</v>
      </c>
      <c r="H12" s="5" t="s">
        <v>716</v>
      </c>
      <c r="I12" s="5" t="s">
        <v>717</v>
      </c>
    </row>
    <row r="13" ht="30" customHeight="1" spans="1:9">
      <c r="A13" s="5" t="s">
        <v>718</v>
      </c>
      <c r="B13" s="5" t="s">
        <v>719</v>
      </c>
      <c r="C13" s="5" t="s">
        <v>720</v>
      </c>
      <c r="D13" s="5" t="s">
        <v>721</v>
      </c>
      <c r="E13" s="5" t="s">
        <v>722</v>
      </c>
      <c r="F13" s="5" t="s">
        <v>11</v>
      </c>
      <c r="G13" s="5" t="s">
        <v>58</v>
      </c>
      <c r="H13" s="5" t="s">
        <v>723</v>
      </c>
      <c r="I13" s="5" t="s">
        <v>724</v>
      </c>
    </row>
    <row r="14" ht="30" customHeight="1" spans="1:9">
      <c r="A14" s="5" t="s">
        <v>725</v>
      </c>
      <c r="B14" s="5" t="s">
        <v>726</v>
      </c>
      <c r="C14" s="5" t="s">
        <v>727</v>
      </c>
      <c r="D14" s="5" t="s">
        <v>728</v>
      </c>
      <c r="E14" s="5" t="s">
        <v>729</v>
      </c>
      <c r="F14" s="5" t="s">
        <v>12</v>
      </c>
      <c r="G14" s="5" t="s">
        <v>71</v>
      </c>
      <c r="H14" s="5" t="s">
        <v>730</v>
      </c>
      <c r="I14" s="5" t="s">
        <v>731</v>
      </c>
    </row>
    <row r="15" ht="30" customHeight="1" spans="1:9">
      <c r="A15" s="5" t="s">
        <v>732</v>
      </c>
      <c r="B15" s="5" t="s">
        <v>733</v>
      </c>
      <c r="C15" s="5" t="s">
        <v>734</v>
      </c>
      <c r="D15" s="5" t="s">
        <v>735</v>
      </c>
      <c r="E15" s="5" t="s">
        <v>736</v>
      </c>
      <c r="F15" s="5" t="s">
        <v>11</v>
      </c>
      <c r="G15" s="5" t="s">
        <v>737</v>
      </c>
      <c r="H15" s="5" t="s">
        <v>738</v>
      </c>
      <c r="I15" s="5" t="s">
        <v>739</v>
      </c>
    </row>
    <row r="16" ht="30" customHeight="1" spans="1:9">
      <c r="A16" s="5" t="s">
        <v>740</v>
      </c>
      <c r="B16" s="5" t="s">
        <v>741</v>
      </c>
      <c r="C16" s="5" t="s">
        <v>742</v>
      </c>
      <c r="D16" s="5" t="s">
        <v>743</v>
      </c>
      <c r="E16" s="5" t="s">
        <v>744</v>
      </c>
      <c r="F16" s="5" t="s">
        <v>11</v>
      </c>
      <c r="G16" s="5" t="s">
        <v>58</v>
      </c>
      <c r="H16" s="5" t="s">
        <v>745</v>
      </c>
      <c r="I16" s="5" t="s">
        <v>746</v>
      </c>
    </row>
    <row r="17" ht="30" customHeight="1" spans="1:9">
      <c r="A17" s="5" t="s">
        <v>747</v>
      </c>
      <c r="B17" s="5" t="s">
        <v>748</v>
      </c>
      <c r="C17" s="5" t="s">
        <v>749</v>
      </c>
      <c r="D17" s="5" t="s">
        <v>750</v>
      </c>
      <c r="E17" s="5" t="s">
        <v>751</v>
      </c>
      <c r="F17" s="5" t="s">
        <v>10</v>
      </c>
      <c r="G17" s="5" t="s">
        <v>737</v>
      </c>
      <c r="H17" s="5" t="s">
        <v>752</v>
      </c>
      <c r="I17" s="5" t="s">
        <v>753</v>
      </c>
    </row>
    <row r="18" ht="30" customHeight="1" spans="1:9">
      <c r="A18" s="5" t="s">
        <v>754</v>
      </c>
      <c r="B18" s="5" t="s">
        <v>755</v>
      </c>
      <c r="C18" s="5" t="s">
        <v>756</v>
      </c>
      <c r="D18" s="5" t="s">
        <v>757</v>
      </c>
      <c r="E18" s="5" t="s">
        <v>758</v>
      </c>
      <c r="F18" s="5" t="s">
        <v>11</v>
      </c>
      <c r="G18" s="5" t="s">
        <v>58</v>
      </c>
      <c r="H18" s="5" t="s">
        <v>759</v>
      </c>
      <c r="I18" s="5" t="s">
        <v>760</v>
      </c>
    </row>
    <row r="19" ht="30" customHeight="1" spans="1:9">
      <c r="A19" s="5" t="s">
        <v>761</v>
      </c>
      <c r="B19" s="5" t="s">
        <v>762</v>
      </c>
      <c r="C19" s="5" t="s">
        <v>763</v>
      </c>
      <c r="D19" s="5" t="s">
        <v>764</v>
      </c>
      <c r="E19" s="5" t="s">
        <v>765</v>
      </c>
      <c r="F19" s="5" t="s">
        <v>10</v>
      </c>
      <c r="G19" s="5" t="s">
        <v>737</v>
      </c>
      <c r="H19" s="5" t="s">
        <v>766</v>
      </c>
      <c r="I19" s="5" t="s">
        <v>767</v>
      </c>
    </row>
  </sheetData>
  <mergeCells count="2">
    <mergeCell ref="A1:I1"/>
    <mergeCell ref="A2:I2"/>
  </mergeCells>
  <conditionalFormatting sqref="F5:F19">
    <cfRule type="containsText" dxfId="0" priority="1" operator="between" text="P0">
      <formula>NOT(ISERROR(SEARCH("P0",F5)))</formula>
    </cfRule>
    <cfRule type="containsText" dxfId="1" priority="2" operator="between" text="P1">
      <formula>NOT(ISERROR(SEARCH("P1",F5)))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showGridLines="0" workbookViewId="0">
      <selection activeCell="E6" sqref="E6"/>
    </sheetView>
  </sheetViews>
  <sheetFormatPr defaultColWidth="9" defaultRowHeight="14.1" outlineLevelCol="6"/>
  <cols>
    <col min="1" max="1" width="14" customWidth="1"/>
    <col min="2" max="2" width="24" customWidth="1"/>
    <col min="3" max="3" width="26" customWidth="1"/>
    <col min="4" max="4" width="46" customWidth="1"/>
    <col min="5" max="5" width="54" customWidth="1"/>
    <col min="6" max="6" width="70" customWidth="1"/>
    <col min="7" max="7" width="14" customWidth="1"/>
  </cols>
  <sheetData>
    <row r="1" ht="36" customHeight="1" spans="1:7">
      <c r="A1" s="1" t="s">
        <v>768</v>
      </c>
      <c r="B1" s="1"/>
      <c r="C1" s="1"/>
      <c r="D1" s="1"/>
      <c r="E1" s="1"/>
      <c r="F1" s="1"/>
      <c r="G1" s="1"/>
    </row>
    <row r="2" ht="32" customHeight="1" spans="1:7">
      <c r="A2" s="2" t="s">
        <v>769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ht="30" customHeight="1" spans="1:7">
      <c r="A4" s="4" t="s">
        <v>770</v>
      </c>
      <c r="B4" s="4" t="s">
        <v>771</v>
      </c>
      <c r="C4" s="4" t="s">
        <v>772</v>
      </c>
      <c r="D4" s="4" t="s">
        <v>773</v>
      </c>
      <c r="E4" s="4" t="s">
        <v>774</v>
      </c>
      <c r="F4" s="4" t="s">
        <v>775</v>
      </c>
      <c r="G4" s="4" t="s">
        <v>552</v>
      </c>
    </row>
    <row r="5" ht="30" customHeight="1" spans="1:7">
      <c r="A5" s="5" t="s">
        <v>776</v>
      </c>
      <c r="B5" s="5" t="s">
        <v>553</v>
      </c>
      <c r="C5" s="5" t="s">
        <v>777</v>
      </c>
      <c r="D5" s="5" t="s">
        <v>778</v>
      </c>
      <c r="E5" s="5" t="s">
        <v>779</v>
      </c>
      <c r="F5" s="5" t="s">
        <v>213</v>
      </c>
      <c r="G5" s="5" t="s">
        <v>563</v>
      </c>
    </row>
    <row r="6" ht="30" customHeight="1" spans="1:7">
      <c r="A6" s="5" t="s">
        <v>776</v>
      </c>
      <c r="B6" s="5" t="s">
        <v>553</v>
      </c>
      <c r="C6" s="5" t="s">
        <v>780</v>
      </c>
      <c r="D6" s="5" t="s">
        <v>781</v>
      </c>
      <c r="E6" s="5" t="s">
        <v>782</v>
      </c>
      <c r="F6" s="5" t="s">
        <v>213</v>
      </c>
      <c r="G6" s="5" t="s">
        <v>563</v>
      </c>
    </row>
    <row r="7" ht="30" customHeight="1" spans="1:7">
      <c r="A7" s="5" t="s">
        <v>776</v>
      </c>
      <c r="B7" s="5" t="s">
        <v>783</v>
      </c>
      <c r="C7" s="5" t="s">
        <v>784</v>
      </c>
      <c r="D7" s="5" t="s">
        <v>785</v>
      </c>
      <c r="E7" s="5" t="s">
        <v>786</v>
      </c>
      <c r="F7" s="5" t="s">
        <v>213</v>
      </c>
      <c r="G7" s="5" t="s">
        <v>563</v>
      </c>
    </row>
    <row r="8" ht="30" customHeight="1" spans="1:7">
      <c r="A8" s="5" t="s">
        <v>787</v>
      </c>
      <c r="B8" s="5" t="s">
        <v>788</v>
      </c>
      <c r="C8" s="5" t="s">
        <v>789</v>
      </c>
      <c r="D8" s="5" t="s">
        <v>790</v>
      </c>
      <c r="E8" s="5" t="s">
        <v>791</v>
      </c>
      <c r="F8" s="5" t="s">
        <v>792</v>
      </c>
      <c r="G8" s="5" t="s">
        <v>563</v>
      </c>
    </row>
    <row r="9" ht="30" customHeight="1" spans="1:7">
      <c r="A9" s="5" t="s">
        <v>787</v>
      </c>
      <c r="B9" s="5" t="s">
        <v>788</v>
      </c>
      <c r="C9" s="5" t="s">
        <v>793</v>
      </c>
      <c r="D9" s="5" t="s">
        <v>794</v>
      </c>
      <c r="E9" s="5" t="s">
        <v>795</v>
      </c>
      <c r="F9" s="5" t="s">
        <v>796</v>
      </c>
      <c r="G9" s="5" t="s">
        <v>563</v>
      </c>
    </row>
    <row r="10" ht="30" customHeight="1" spans="1:7">
      <c r="A10" s="5" t="s">
        <v>787</v>
      </c>
      <c r="B10" s="5" t="s">
        <v>797</v>
      </c>
      <c r="C10" s="5" t="s">
        <v>798</v>
      </c>
      <c r="D10" s="5" t="s">
        <v>799</v>
      </c>
      <c r="E10" s="5" t="s">
        <v>800</v>
      </c>
      <c r="F10" s="5" t="s">
        <v>801</v>
      </c>
      <c r="G10" s="5" t="s">
        <v>563</v>
      </c>
    </row>
    <row r="11" ht="30" customHeight="1" spans="1:7">
      <c r="A11" s="5" t="s">
        <v>787</v>
      </c>
      <c r="B11" s="5" t="s">
        <v>788</v>
      </c>
      <c r="C11" s="5" t="s">
        <v>802</v>
      </c>
      <c r="D11" s="5" t="s">
        <v>573</v>
      </c>
      <c r="E11" s="5" t="s">
        <v>803</v>
      </c>
      <c r="F11" s="5" t="s">
        <v>804</v>
      </c>
      <c r="G11" s="5" t="s">
        <v>563</v>
      </c>
    </row>
    <row r="12" ht="30" customHeight="1" spans="1:7">
      <c r="A12" s="5" t="s">
        <v>787</v>
      </c>
      <c r="B12" s="5" t="s">
        <v>805</v>
      </c>
      <c r="C12" s="5" t="s">
        <v>806</v>
      </c>
      <c r="D12" s="5" t="s">
        <v>807</v>
      </c>
      <c r="E12" s="5" t="s">
        <v>808</v>
      </c>
      <c r="F12" s="5" t="s">
        <v>809</v>
      </c>
      <c r="G12" s="5" t="s">
        <v>563</v>
      </c>
    </row>
    <row r="13" ht="30" customHeight="1" spans="1:7">
      <c r="A13" s="5" t="s">
        <v>787</v>
      </c>
      <c r="B13" s="5" t="s">
        <v>805</v>
      </c>
      <c r="C13" s="5" t="s">
        <v>810</v>
      </c>
      <c r="D13" s="5" t="s">
        <v>811</v>
      </c>
      <c r="E13" s="5" t="s">
        <v>812</v>
      </c>
      <c r="F13" s="5" t="s">
        <v>813</v>
      </c>
      <c r="G13" s="5" t="s">
        <v>563</v>
      </c>
    </row>
    <row r="14" ht="30" customHeight="1" spans="1:7">
      <c r="A14" s="5" t="s">
        <v>787</v>
      </c>
      <c r="B14" s="5" t="s">
        <v>805</v>
      </c>
      <c r="C14" s="5" t="s">
        <v>802</v>
      </c>
      <c r="D14" s="5" t="s">
        <v>814</v>
      </c>
      <c r="E14" s="5" t="s">
        <v>815</v>
      </c>
      <c r="F14" s="5" t="s">
        <v>816</v>
      </c>
      <c r="G14" s="5" t="s">
        <v>563</v>
      </c>
    </row>
    <row r="15" ht="30" customHeight="1" spans="1:7">
      <c r="A15" s="5" t="s">
        <v>787</v>
      </c>
      <c r="B15" s="5" t="s">
        <v>817</v>
      </c>
      <c r="C15" s="5" t="s">
        <v>818</v>
      </c>
      <c r="D15" s="5" t="s">
        <v>819</v>
      </c>
      <c r="E15" s="5" t="s">
        <v>820</v>
      </c>
      <c r="F15" s="5" t="s">
        <v>821</v>
      </c>
      <c r="G15" s="5" t="s">
        <v>563</v>
      </c>
    </row>
    <row r="16" ht="30" customHeight="1" spans="1:7">
      <c r="A16" s="5" t="s">
        <v>787</v>
      </c>
      <c r="B16" s="5" t="s">
        <v>822</v>
      </c>
      <c r="C16" s="5" t="s">
        <v>823</v>
      </c>
      <c r="D16" s="5" t="s">
        <v>824</v>
      </c>
      <c r="E16" s="5" t="s">
        <v>825</v>
      </c>
      <c r="F16" s="5" t="s">
        <v>826</v>
      </c>
      <c r="G16" s="5" t="s">
        <v>563</v>
      </c>
    </row>
    <row r="17" ht="30" customHeight="1" spans="1:7">
      <c r="A17" s="5" t="s">
        <v>787</v>
      </c>
      <c r="B17" s="5" t="s">
        <v>827</v>
      </c>
      <c r="C17" s="5" t="s">
        <v>802</v>
      </c>
      <c r="D17" s="5" t="s">
        <v>605</v>
      </c>
      <c r="E17" s="5" t="s">
        <v>828</v>
      </c>
      <c r="F17" s="5" t="s">
        <v>829</v>
      </c>
      <c r="G17" s="5" t="s">
        <v>563</v>
      </c>
    </row>
    <row r="18" ht="30" customHeight="1" spans="1:7">
      <c r="A18" s="5" t="s">
        <v>787</v>
      </c>
      <c r="B18" s="5" t="s">
        <v>830</v>
      </c>
      <c r="C18" s="5" t="s">
        <v>831</v>
      </c>
      <c r="D18" s="5" t="s">
        <v>832</v>
      </c>
      <c r="E18" s="5" t="s">
        <v>833</v>
      </c>
      <c r="F18" s="5" t="s">
        <v>834</v>
      </c>
      <c r="G18" s="5" t="s">
        <v>563</v>
      </c>
    </row>
    <row r="19" ht="30" customHeight="1" spans="1:7">
      <c r="A19" s="5" t="s">
        <v>787</v>
      </c>
      <c r="B19" s="5" t="s">
        <v>830</v>
      </c>
      <c r="C19" s="5" t="s">
        <v>835</v>
      </c>
      <c r="D19" s="5" t="s">
        <v>836</v>
      </c>
      <c r="E19" s="5" t="s">
        <v>837</v>
      </c>
      <c r="F19" s="5" t="s">
        <v>838</v>
      </c>
      <c r="G19" s="5" t="s">
        <v>563</v>
      </c>
    </row>
    <row r="20" ht="30" customHeight="1" spans="1:7">
      <c r="A20" s="5" t="s">
        <v>787</v>
      </c>
      <c r="B20" s="5" t="s">
        <v>830</v>
      </c>
      <c r="C20" s="5" t="s">
        <v>802</v>
      </c>
      <c r="D20" s="5" t="s">
        <v>605</v>
      </c>
      <c r="E20" s="5" t="s">
        <v>839</v>
      </c>
      <c r="F20" s="5" t="s">
        <v>840</v>
      </c>
      <c r="G20" s="5" t="s">
        <v>563</v>
      </c>
    </row>
    <row r="21" ht="30" customHeight="1" spans="1:7">
      <c r="A21" s="5" t="s">
        <v>787</v>
      </c>
      <c r="B21" s="5" t="s">
        <v>841</v>
      </c>
      <c r="C21" s="5" t="s">
        <v>842</v>
      </c>
      <c r="D21" s="5" t="s">
        <v>843</v>
      </c>
      <c r="E21" s="5" t="s">
        <v>844</v>
      </c>
      <c r="F21" s="5" t="s">
        <v>845</v>
      </c>
      <c r="G21" s="5" t="s">
        <v>563</v>
      </c>
    </row>
    <row r="22" ht="30" customHeight="1" spans="1:7">
      <c r="A22" s="5" t="s">
        <v>787</v>
      </c>
      <c r="B22" s="5" t="s">
        <v>846</v>
      </c>
      <c r="C22" s="5" t="s">
        <v>847</v>
      </c>
      <c r="D22" s="5" t="s">
        <v>848</v>
      </c>
      <c r="E22" s="5" t="s">
        <v>849</v>
      </c>
      <c r="F22" s="5" t="s">
        <v>850</v>
      </c>
      <c r="G22" s="5" t="s">
        <v>563</v>
      </c>
    </row>
    <row r="23" ht="30" customHeight="1" spans="1:7">
      <c r="A23" s="5" t="s">
        <v>851</v>
      </c>
      <c r="B23" s="5" t="s">
        <v>841</v>
      </c>
      <c r="C23" s="5" t="s">
        <v>852</v>
      </c>
      <c r="D23" s="5" t="s">
        <v>853</v>
      </c>
      <c r="E23" s="5" t="s">
        <v>854</v>
      </c>
      <c r="F23" s="5" t="s">
        <v>855</v>
      </c>
      <c r="G23" s="5" t="s">
        <v>563</v>
      </c>
    </row>
    <row r="24" ht="30" customHeight="1" spans="1:7">
      <c r="A24" s="5" t="s">
        <v>787</v>
      </c>
      <c r="B24" s="5" t="s">
        <v>856</v>
      </c>
      <c r="C24" s="5" t="s">
        <v>857</v>
      </c>
      <c r="D24" s="5" t="s">
        <v>858</v>
      </c>
      <c r="E24" s="5" t="s">
        <v>859</v>
      </c>
      <c r="F24" s="5" t="s">
        <v>860</v>
      </c>
      <c r="G24" s="5" t="s">
        <v>563</v>
      </c>
    </row>
    <row r="25" ht="30" customHeight="1" spans="1:7">
      <c r="A25" s="5" t="s">
        <v>787</v>
      </c>
      <c r="B25" s="5" t="s">
        <v>619</v>
      </c>
      <c r="C25" s="5" t="s">
        <v>861</v>
      </c>
      <c r="D25" s="5" t="s">
        <v>862</v>
      </c>
      <c r="E25" s="5" t="s">
        <v>863</v>
      </c>
      <c r="F25" s="5" t="s">
        <v>864</v>
      </c>
      <c r="G25" s="5" t="s">
        <v>563</v>
      </c>
    </row>
    <row r="26" ht="30" customHeight="1" spans="1:7">
      <c r="A26" s="5" t="s">
        <v>787</v>
      </c>
      <c r="B26" s="5" t="s">
        <v>619</v>
      </c>
      <c r="C26" s="5" t="s">
        <v>865</v>
      </c>
      <c r="D26" s="5" t="s">
        <v>866</v>
      </c>
      <c r="E26" s="5" t="s">
        <v>867</v>
      </c>
      <c r="F26" s="5" t="s">
        <v>868</v>
      </c>
      <c r="G26" s="5" t="s">
        <v>563</v>
      </c>
    </row>
    <row r="27" ht="30" customHeight="1" spans="1:7">
      <c r="A27" s="5" t="s">
        <v>787</v>
      </c>
      <c r="B27" s="5" t="s">
        <v>869</v>
      </c>
      <c r="C27" s="5" t="s">
        <v>870</v>
      </c>
      <c r="D27" s="5" t="s">
        <v>871</v>
      </c>
      <c r="E27" s="5" t="s">
        <v>872</v>
      </c>
      <c r="F27" s="5" t="s">
        <v>873</v>
      </c>
      <c r="G27" s="5" t="s">
        <v>563</v>
      </c>
    </row>
    <row r="28" ht="30" customHeight="1" spans="1:7">
      <c r="A28" s="5" t="s">
        <v>787</v>
      </c>
      <c r="B28" s="5" t="s">
        <v>869</v>
      </c>
      <c r="C28" s="5" t="s">
        <v>874</v>
      </c>
      <c r="D28" s="5" t="s">
        <v>875</v>
      </c>
      <c r="E28" s="5" t="s">
        <v>876</v>
      </c>
      <c r="F28" s="5" t="s">
        <v>877</v>
      </c>
      <c r="G28" s="5" t="s">
        <v>563</v>
      </c>
    </row>
    <row r="29" ht="30" customHeight="1" spans="1:7">
      <c r="A29" s="5" t="s">
        <v>787</v>
      </c>
      <c r="B29" s="5" t="s">
        <v>869</v>
      </c>
      <c r="C29" s="5" t="s">
        <v>878</v>
      </c>
      <c r="D29" s="5" t="s">
        <v>879</v>
      </c>
      <c r="E29" s="5" t="s">
        <v>880</v>
      </c>
      <c r="F29" s="5" t="s">
        <v>881</v>
      </c>
      <c r="G29" s="5" t="s">
        <v>563</v>
      </c>
    </row>
    <row r="30" ht="30" customHeight="1" spans="1:7">
      <c r="A30" s="5" t="s">
        <v>787</v>
      </c>
      <c r="B30" s="5" t="s">
        <v>869</v>
      </c>
      <c r="C30" s="5" t="s">
        <v>802</v>
      </c>
      <c r="D30" s="5" t="s">
        <v>882</v>
      </c>
      <c r="E30" s="5" t="s">
        <v>883</v>
      </c>
      <c r="F30" s="5" t="s">
        <v>884</v>
      </c>
      <c r="G30" s="5" t="s">
        <v>563</v>
      </c>
    </row>
    <row r="31" ht="30" customHeight="1" spans="1:7">
      <c r="A31" s="5" t="s">
        <v>787</v>
      </c>
      <c r="B31" s="5" t="s">
        <v>885</v>
      </c>
      <c r="C31" s="5" t="s">
        <v>886</v>
      </c>
      <c r="D31" s="5" t="s">
        <v>887</v>
      </c>
      <c r="E31" s="5" t="s">
        <v>888</v>
      </c>
      <c r="F31" s="5" t="s">
        <v>889</v>
      </c>
      <c r="G31" s="5" t="s">
        <v>563</v>
      </c>
    </row>
    <row r="32" ht="30" customHeight="1" spans="1:7">
      <c r="A32" s="5" t="s">
        <v>787</v>
      </c>
      <c r="B32" s="5" t="s">
        <v>885</v>
      </c>
      <c r="C32" s="5" t="s">
        <v>890</v>
      </c>
      <c r="D32" s="5" t="s">
        <v>891</v>
      </c>
      <c r="E32" s="5" t="s">
        <v>892</v>
      </c>
      <c r="F32" s="5" t="s">
        <v>893</v>
      </c>
      <c r="G32" s="5" t="s">
        <v>563</v>
      </c>
    </row>
    <row r="33" ht="30" customHeight="1" spans="1:7">
      <c r="A33" s="5" t="s">
        <v>787</v>
      </c>
      <c r="B33" s="5" t="s">
        <v>885</v>
      </c>
      <c r="C33" s="5" t="s">
        <v>894</v>
      </c>
      <c r="D33" s="5" t="s">
        <v>895</v>
      </c>
      <c r="E33" s="5" t="s">
        <v>896</v>
      </c>
      <c r="F33" s="5" t="s">
        <v>897</v>
      </c>
      <c r="G33" s="5" t="s">
        <v>563</v>
      </c>
    </row>
    <row r="34" ht="30" customHeight="1" spans="1:7">
      <c r="A34" s="5" t="s">
        <v>787</v>
      </c>
      <c r="B34" s="5" t="s">
        <v>885</v>
      </c>
      <c r="C34" s="5" t="s">
        <v>802</v>
      </c>
      <c r="D34" s="5" t="s">
        <v>898</v>
      </c>
      <c r="E34" s="5" t="s">
        <v>899</v>
      </c>
      <c r="F34" s="5" t="s">
        <v>900</v>
      </c>
      <c r="G34" s="5" t="s">
        <v>563</v>
      </c>
    </row>
    <row r="35" ht="30" customHeight="1" spans="1:7">
      <c r="A35" s="5" t="s">
        <v>901</v>
      </c>
      <c r="B35" s="5" t="s">
        <v>902</v>
      </c>
      <c r="C35" s="5" t="s">
        <v>903</v>
      </c>
      <c r="D35" s="5" t="s">
        <v>904</v>
      </c>
      <c r="E35" s="5" t="s">
        <v>905</v>
      </c>
      <c r="F35" s="5" t="s">
        <v>906</v>
      </c>
      <c r="G35" s="5" t="s">
        <v>563</v>
      </c>
    </row>
    <row r="36" ht="30" customHeight="1" spans="1:7">
      <c r="A36" s="5" t="s">
        <v>901</v>
      </c>
      <c r="B36" s="5" t="s">
        <v>907</v>
      </c>
      <c r="C36" s="5" t="s">
        <v>908</v>
      </c>
      <c r="D36" s="5" t="s">
        <v>909</v>
      </c>
      <c r="E36" s="5" t="s">
        <v>910</v>
      </c>
      <c r="F36" s="5" t="s">
        <v>911</v>
      </c>
      <c r="G36" s="5" t="s">
        <v>563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执行摘要</vt:lpstr>
      <vt:lpstr>现有服务清单</vt:lpstr>
      <vt:lpstr>风险清单</vt:lpstr>
      <vt:lpstr>性能对比</vt:lpstr>
      <vt:lpstr>可借鉴实践</vt:lpstr>
      <vt:lpstr>指标口径与来源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2026-07-14T02:04:52Z</dcterms:created>
  <dcterms:modified xsi:type="dcterms:W3CDTF">2026-07-14T02:07:09Z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144CCC975E514616A3F9012A011C1D3A_12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